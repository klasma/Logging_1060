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46216</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46216</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Y3">
        <f>HYPERLINK("https://klasma.github.io/Logging_1060/klagomål/S 4909-2022 FSC-klagomål.docx", "S 4909-2022")</f>
        <v/>
      </c>
      <c r="Z3">
        <f>HYPERLINK("https://klasma.github.io/Logging_1060/klagomålsmail/S 4909-2022 FSC-klagomål mail.docx", "S 4909-2022")</f>
        <v/>
      </c>
      <c r="AA3">
        <f>HYPERLINK("https://klasma.github.io/Logging_1060/tillsyn/S 4909-2022 tillsynsbegäran.docx", "S 4909-2022")</f>
        <v/>
      </c>
      <c r="AB3">
        <f>HYPERLINK("https://klasma.github.io/Logging_1060/tillsynsmail/S 4909-2022 tillsynsbegäran mail.docx", "S 4909-2022")</f>
        <v/>
      </c>
      <c r="AC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46216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Y4">
        <f>HYPERLINK("https://klasma.github.io/Logging_1060/klagomål/A 37860-2025 FSC-klagomål.docx", "A 37860-2025")</f>
        <v/>
      </c>
      <c r="Z4">
        <f>HYPERLINK("https://klasma.github.io/Logging_1060/klagomålsmail/A 37860-2025 FSC-klagomål mail.docx", "A 37860-2025")</f>
        <v/>
      </c>
      <c r="AA4">
        <f>HYPERLINK("https://klasma.github.io/Logging_1060/tillsyn/A 37860-2025 tillsynsbegäran.docx", "A 37860-2025")</f>
        <v/>
      </c>
      <c r="AB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46216</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Y5">
        <f>HYPERLINK("https://klasma.github.io/Logging_1060/klagomål/A 46168-2021 FSC-klagomål.docx", "A 46168-2021")</f>
        <v/>
      </c>
      <c r="Z5">
        <f>HYPERLINK("https://klasma.github.io/Logging_1060/klagomålsmail/A 46168-2021 FSC-klagomål mail.docx", "A 46168-2021")</f>
        <v/>
      </c>
      <c r="AA5">
        <f>HYPERLINK("https://klasma.github.io/Logging_1060/tillsyn/A 46168-2021 tillsynsbegäran.docx", "A 46168-2021")</f>
        <v/>
      </c>
      <c r="AB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46216</v>
      </c>
      <c r="F6" t="inlineStr">
        <is>
          <t>BLEKINGE LÄN</t>
        </is>
      </c>
      <c r="G6" t="inlineStr">
        <is>
          <t>OLOFSTRÖM</t>
        </is>
      </c>
      <c r="I6" t="n">
        <v>2.3</v>
      </c>
      <c r="J6" t="n">
        <v>1</v>
      </c>
      <c r="K6" t="n">
        <v>1</v>
      </c>
      <c r="L6" t="n">
        <v>0</v>
      </c>
      <c r="M6" t="n">
        <v>1</v>
      </c>
      <c r="N6" t="n">
        <v>0</v>
      </c>
      <c r="O6" t="n">
        <v>0</v>
      </c>
      <c r="P6" t="n">
        <v>0</v>
      </c>
      <c r="Q6" t="n">
        <v>1</v>
      </c>
      <c r="R6" t="n">
        <v>1</v>
      </c>
      <c r="S6" t="n">
        <v>3</v>
      </c>
      <c r="T6" t="n">
        <v>4</v>
      </c>
      <c r="U6" s="2" t="inlineStr">
        <is>
          <t>Småvänderot
Skogsbräsma
Revlummer</t>
        </is>
      </c>
      <c r="V6">
        <f>HYPERLINK("https://klasma.github.io/Logging_1060/artfynd/A 547-2026 artfynd.xlsx", "A 547-2026")</f>
        <v/>
      </c>
      <c r="W6">
        <f>HYPERLINK("https://klasma.github.io/Logging_1060/kartor/A 547-2026 karta.png", "A 547-2026")</f>
        <v/>
      </c>
      <c r="Y6">
        <f>HYPERLINK("https://klasma.github.io/Logging_1060/klagomål/A 547-2026 FSC-klagomål.docx", "A 547-2026")</f>
        <v/>
      </c>
      <c r="Z6">
        <f>HYPERLINK("https://klasma.github.io/Logging_1060/klagomålsmail/A 547-2026 FSC-klagomål mail.docx", "A 547-2026")</f>
        <v/>
      </c>
      <c r="AA6">
        <f>HYPERLINK("https://klasma.github.io/Logging_1060/tillsyn/A 547-2026 tillsynsbegäran.docx", "A 547-2026")</f>
        <v/>
      </c>
      <c r="AB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46216</v>
      </c>
      <c r="F7" t="inlineStr">
        <is>
          <t>BLEKINGE LÄN</t>
        </is>
      </c>
      <c r="G7" t="inlineStr">
        <is>
          <t>OLOFSTRÖM</t>
        </is>
      </c>
      <c r="I7" t="n">
        <v>6.4</v>
      </c>
      <c r="J7" t="n">
        <v>1</v>
      </c>
      <c r="K7" t="n">
        <v>0</v>
      </c>
      <c r="L7" t="n">
        <v>1</v>
      </c>
      <c r="M7" t="n">
        <v>0</v>
      </c>
      <c r="N7" t="n">
        <v>1</v>
      </c>
      <c r="O7" t="n">
        <v>0</v>
      </c>
      <c r="P7" t="n">
        <v>0</v>
      </c>
      <c r="Q7" t="n">
        <v>2</v>
      </c>
      <c r="R7" t="n">
        <v>1</v>
      </c>
      <c r="S7" t="n">
        <v>3</v>
      </c>
      <c r="T7" t="n">
        <v>4</v>
      </c>
      <c r="U7" s="2" t="inlineStr">
        <is>
          <t>Skogsalm
Backruta
Grönvit nattviol</t>
        </is>
      </c>
      <c r="V7">
        <f>HYPERLINK("https://klasma.github.io/Logging_1060/artfynd/A 33863-2023 artfynd.xlsx", "A 33863-2023")</f>
        <v/>
      </c>
      <c r="W7">
        <f>HYPERLINK("https://klasma.github.io/Logging_1060/kartor/A 33863-2023 karta.png", "A 33863-2023")</f>
        <v/>
      </c>
      <c r="Y7">
        <f>HYPERLINK("https://klasma.github.io/Logging_1060/klagomål/A 33863-2023 FSC-klagomål.docx", "A 33863-2023")</f>
        <v/>
      </c>
      <c r="Z7">
        <f>HYPERLINK("https://klasma.github.io/Logging_1060/klagomålsmail/A 33863-2023 FSC-klagomål mail.docx", "A 33863-2023")</f>
        <v/>
      </c>
      <c r="AA7">
        <f>HYPERLINK("https://klasma.github.io/Logging_1060/tillsyn/A 33863-2023 tillsynsbegäran.docx", "A 33863-2023")</f>
        <v/>
      </c>
      <c r="AB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46216</v>
      </c>
      <c r="F8" t="inlineStr">
        <is>
          <t>BLEKINGE LÄN</t>
        </is>
      </c>
      <c r="G8" t="inlineStr">
        <is>
          <t>OLOFSTRÖM</t>
        </is>
      </c>
      <c r="I8" t="n">
        <v>2</v>
      </c>
      <c r="J8" t="n">
        <v>0</v>
      </c>
      <c r="K8" t="n">
        <v>1</v>
      </c>
      <c r="L8" t="n">
        <v>1</v>
      </c>
      <c r="M8" t="n">
        <v>0</v>
      </c>
      <c r="N8" t="n">
        <v>1</v>
      </c>
      <c r="O8" t="n">
        <v>0</v>
      </c>
      <c r="P8" t="n">
        <v>0</v>
      </c>
      <c r="Q8" t="n">
        <v>2</v>
      </c>
      <c r="R8" t="n">
        <v>1</v>
      </c>
      <c r="S8" t="n">
        <v>3</v>
      </c>
      <c r="T8" t="n">
        <v>3</v>
      </c>
      <c r="U8" s="2" t="inlineStr">
        <is>
          <t>Ask
Lunglav
Platt fjädermossa</t>
        </is>
      </c>
      <c r="V8">
        <f>HYPERLINK("https://klasma.github.io/Logging_1060/artfynd/A 57229-2024 artfynd.xlsx", "A 57229-2024")</f>
        <v/>
      </c>
      <c r="W8">
        <f>HYPERLINK("https://klasma.github.io/Logging_1060/kartor/A 57229-2024 karta.png", "A 57229-2024")</f>
        <v/>
      </c>
      <c r="Y8">
        <f>HYPERLINK("https://klasma.github.io/Logging_1060/klagomål/A 57229-2024 FSC-klagomål.docx", "A 57229-2024")</f>
        <v/>
      </c>
      <c r="Z8">
        <f>HYPERLINK("https://klasma.github.io/Logging_1060/klagomålsmail/A 57229-2024 FSC-klagomål mail.docx", "A 57229-2024")</f>
        <v/>
      </c>
      <c r="AA8">
        <f>HYPERLINK("https://klasma.github.io/Logging_1060/tillsyn/A 57229-2024 tillsynsbegäran.docx", "A 57229-2024")</f>
        <v/>
      </c>
      <c r="AB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46216</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s="2" t="inlineStr">
        <is>
          <t>Igelkott
Kungsfiskare
Utter</t>
        </is>
      </c>
      <c r="V9">
        <f>HYPERLINK("https://klasma.github.io/Logging_1060/artfynd/A 62747-2023 artfynd.xlsx", "A 62747-2023")</f>
        <v/>
      </c>
      <c r="W9">
        <f>HYPERLINK("https://klasma.github.io/Logging_1060/kartor/A 62747-2023 karta.png", "A 62747-2023")</f>
        <v/>
      </c>
      <c r="Y9">
        <f>HYPERLINK("https://klasma.github.io/Logging_1060/klagomål/A 62747-2023 FSC-klagomål.docx", "A 62747-2023")</f>
        <v/>
      </c>
      <c r="Z9">
        <f>HYPERLINK("https://klasma.github.io/Logging_1060/klagomålsmail/A 62747-2023 FSC-klagomål mail.docx", "A 62747-2023")</f>
        <v/>
      </c>
      <c r="AA9">
        <f>HYPERLINK("https://klasma.github.io/Logging_1060/tillsyn/A 62747-2023 tillsynsbegäran.docx", "A 62747-2023")</f>
        <v/>
      </c>
      <c r="AB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46216</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s="2" t="inlineStr">
        <is>
          <t>Småvänderot
Gullpudra
Stenporella</t>
        </is>
      </c>
      <c r="V10">
        <f>HYPERLINK("https://klasma.github.io/Logging_1060/artfynd/A 39568-2021 artfynd.xlsx", "A 39568-2021")</f>
        <v/>
      </c>
      <c r="W10">
        <f>HYPERLINK("https://klasma.github.io/Logging_1060/kartor/A 39568-2021 karta.png", "A 39568-2021")</f>
        <v/>
      </c>
      <c r="Y10">
        <f>HYPERLINK("https://klasma.github.io/Logging_1060/klagomål/A 39568-2021 FSC-klagomål.docx", "A 39568-2021")</f>
        <v/>
      </c>
      <c r="Z10">
        <f>HYPERLINK("https://klasma.github.io/Logging_1060/klagomålsmail/A 39568-2021 FSC-klagomål mail.docx", "A 39568-2021")</f>
        <v/>
      </c>
      <c r="AA10">
        <f>HYPERLINK("https://klasma.github.io/Logging_1060/tillsyn/A 39568-2021 tillsynsbegäran.docx", "A 39568-2021")</f>
        <v/>
      </c>
      <c r="AB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46216</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Y11">
        <f>HYPERLINK("https://klasma.github.io/Logging_1060/klagomål/A 74357-2021 FSC-klagomål.docx", "A 74357-2021")</f>
        <v/>
      </c>
      <c r="Z11">
        <f>HYPERLINK("https://klasma.github.io/Logging_1060/klagomålsmail/A 74357-2021 FSC-klagomål mail.docx", "A 74357-2021")</f>
        <v/>
      </c>
      <c r="AA11">
        <f>HYPERLINK("https://klasma.github.io/Logging_1060/tillsyn/A 74357-2021 tillsynsbegäran.docx", "A 74357-2021")</f>
        <v/>
      </c>
      <c r="AB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46216</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s="2" t="inlineStr">
        <is>
          <t>Sjötåtel
Revlummer</t>
        </is>
      </c>
      <c r="V12">
        <f>HYPERLINK("https://klasma.github.io/Logging_1060/artfynd/A 59891-2024 artfynd.xlsx", "A 59891-2024")</f>
        <v/>
      </c>
      <c r="W12">
        <f>HYPERLINK("https://klasma.github.io/Logging_1060/kartor/A 59891-2024 karta.png", "A 59891-2024")</f>
        <v/>
      </c>
      <c r="Y12">
        <f>HYPERLINK("https://klasma.github.io/Logging_1060/klagomål/A 59891-2024 FSC-klagomål.docx", "A 59891-2024")</f>
        <v/>
      </c>
      <c r="Z12">
        <f>HYPERLINK("https://klasma.github.io/Logging_1060/klagomålsmail/A 59891-2024 FSC-klagomål mail.docx", "A 59891-2024")</f>
        <v/>
      </c>
      <c r="AA12">
        <f>HYPERLINK("https://klasma.github.io/Logging_1060/tillsyn/A 59891-2024 tillsynsbegäran.docx", "A 59891-2024")</f>
        <v/>
      </c>
      <c r="AB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46216</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s="2" t="inlineStr">
        <is>
          <t>Knärot
Västlig hakmossa</t>
        </is>
      </c>
      <c r="V13">
        <f>HYPERLINK("https://klasma.github.io/Logging_1060/artfynd/A 46157-2024 artfynd.xlsx", "A 46157-2024")</f>
        <v/>
      </c>
      <c r="W13">
        <f>HYPERLINK("https://klasma.github.io/Logging_1060/kartor/A 46157-2024 karta.png", "A 46157-2024")</f>
        <v/>
      </c>
      <c r="X13">
        <f>HYPERLINK("https://klasma.github.io/Logging_1060/knärot/A 46157-2024 karta knärot.png", "A 46157-2024")</f>
        <v/>
      </c>
      <c r="Y13">
        <f>HYPERLINK("https://klasma.github.io/Logging_1060/klagomål/A 46157-2024 FSC-klagomål.docx", "A 46157-2024")</f>
        <v/>
      </c>
      <c r="Z13">
        <f>HYPERLINK("https://klasma.github.io/Logging_1060/klagomålsmail/A 46157-2024 FSC-klagomål mail.docx", "A 46157-2024")</f>
        <v/>
      </c>
      <c r="AA13">
        <f>HYPERLINK("https://klasma.github.io/Logging_1060/tillsyn/A 46157-2024 tillsynsbegäran.docx", "A 46157-2024")</f>
        <v/>
      </c>
      <c r="AB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46216</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s="2" t="inlineStr">
        <is>
          <t>Murgröna
Blåsippa</t>
        </is>
      </c>
      <c r="V14">
        <f>HYPERLINK("https://klasma.github.io/Logging_1060/artfynd/A 32004-2023 artfynd.xlsx", "A 32004-2023")</f>
        <v/>
      </c>
      <c r="W14">
        <f>HYPERLINK("https://klasma.github.io/Logging_1060/kartor/A 32004-2023 karta.png", "A 32004-2023")</f>
        <v/>
      </c>
      <c r="Y14">
        <f>HYPERLINK("https://klasma.github.io/Logging_1060/klagomål/A 32004-2023 FSC-klagomål.docx", "A 32004-2023")</f>
        <v/>
      </c>
      <c r="Z14">
        <f>HYPERLINK("https://klasma.github.io/Logging_1060/klagomålsmail/A 32004-2023 FSC-klagomål mail.docx", "A 32004-2023")</f>
        <v/>
      </c>
      <c r="AA14">
        <f>HYPERLINK("https://klasma.github.io/Logging_1060/tillsyn/A 32004-2023 tillsynsbegäran.docx", "A 32004-2023")</f>
        <v/>
      </c>
      <c r="AB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46216</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s="2" t="inlineStr">
        <is>
          <t>Fyrflikig jordstjärna
Kamjordstjärna</t>
        </is>
      </c>
      <c r="V15">
        <f>HYPERLINK("https://klasma.github.io/Logging_1060/artfynd/A 46918-2024 artfynd.xlsx", "A 46918-2024")</f>
        <v/>
      </c>
      <c r="W15">
        <f>HYPERLINK("https://klasma.github.io/Logging_1060/kartor/A 46918-2024 karta.png", "A 46918-2024")</f>
        <v/>
      </c>
      <c r="Y15">
        <f>HYPERLINK("https://klasma.github.io/Logging_1060/klagomål/A 46918-2024 FSC-klagomål.docx", "A 46918-2024")</f>
        <v/>
      </c>
      <c r="Z15">
        <f>HYPERLINK("https://klasma.github.io/Logging_1060/klagomålsmail/A 46918-2024 FSC-klagomål mail.docx", "A 46918-2024")</f>
        <v/>
      </c>
      <c r="AA15">
        <f>HYPERLINK("https://klasma.github.io/Logging_1060/tillsyn/A 46918-2024 tillsynsbegäran.docx", "A 46918-2024")</f>
        <v/>
      </c>
      <c r="AB15">
        <f>HYPERLINK("https://klasma.github.io/Logging_1060/tillsynsmail/A 46918-2024 tillsynsbegäran mail.docx", "A 46918-2024")</f>
        <v/>
      </c>
    </row>
    <row r="16" ht="15" customHeight="1">
      <c r="A16" t="inlineStr">
        <is>
          <t>A 38709-2021</t>
        </is>
      </c>
      <c r="B16" t="inlineStr">
        <is>
          <t>avverkningsanmälan</t>
        </is>
      </c>
      <c r="C16" t="inlineStr">
        <is>
          <t>Föryngringsavverkning</t>
        </is>
      </c>
      <c r="D16" s="1" t="n">
        <v>44410</v>
      </c>
      <c r="E16" s="1" t="n">
        <v>46216</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Y16">
        <f>HYPERLINK("https://klasma.github.io/Logging_1060/klagomål/A 38709-2021 FSC-klagomål.docx", "A 38709-2021")</f>
        <v/>
      </c>
      <c r="Z16">
        <f>HYPERLINK("https://klasma.github.io/Logging_1060/klagomålsmail/A 38709-2021 FSC-klagomål mail.docx", "A 38709-2021")</f>
        <v/>
      </c>
      <c r="AA16">
        <f>HYPERLINK("https://klasma.github.io/Logging_1060/tillsyn/A 38709-2021 tillsynsbegäran.docx", "A 38709-2021")</f>
        <v/>
      </c>
      <c r="AB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46216</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s="2" t="inlineStr">
        <is>
          <t>Tibast</t>
        </is>
      </c>
      <c r="V17">
        <f>HYPERLINK("https://klasma.github.io/Logging_1060/artfynd/A 53806-2022 artfynd.xlsx", "A 53806-2022")</f>
        <v/>
      </c>
      <c r="W17">
        <f>HYPERLINK("https://klasma.github.io/Logging_1060/kartor/A 53806-2022 karta.png", "A 53806-2022")</f>
        <v/>
      </c>
      <c r="Y17">
        <f>HYPERLINK("https://klasma.github.io/Logging_1060/klagomål/A 53806-2022 FSC-klagomål.docx", "A 53806-2022")</f>
        <v/>
      </c>
      <c r="Z17">
        <f>HYPERLINK("https://klasma.github.io/Logging_1060/klagomålsmail/A 53806-2022 FSC-klagomål mail.docx", "A 53806-2022")</f>
        <v/>
      </c>
      <c r="AA17">
        <f>HYPERLINK("https://klasma.github.io/Logging_1060/tillsyn/A 53806-2022 tillsynsbegäran.docx", "A 53806-2022")</f>
        <v/>
      </c>
      <c r="AB17">
        <f>HYPERLINK("https://klasma.github.io/Logging_1060/tillsynsmail/A 53806-2022 tillsynsbegäran mail.docx", "A 53806-2022")</f>
        <v/>
      </c>
    </row>
    <row r="18" ht="15" customHeight="1">
      <c r="A18" t="inlineStr">
        <is>
          <t>A 650-2022</t>
        </is>
      </c>
      <c r="B18" t="inlineStr">
        <is>
          <t>avverkningsanmälan</t>
        </is>
      </c>
      <c r="C18" t="inlineStr">
        <is>
          <t>Föryngringsavverkning</t>
        </is>
      </c>
      <c r="D18" s="1" t="n">
        <v>44568</v>
      </c>
      <c r="E18" s="1" t="n">
        <v>46216</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s="2" t="inlineStr">
        <is>
          <t>Stor revmossa</t>
        </is>
      </c>
      <c r="V18">
        <f>HYPERLINK("https://klasma.github.io/Logging_1060/artfynd/A 650-2022 artfynd.xlsx", "A 650-2022")</f>
        <v/>
      </c>
      <c r="W18">
        <f>HYPERLINK("https://klasma.github.io/Logging_1060/kartor/A 650-2022 karta.png", "A 650-2022")</f>
        <v/>
      </c>
      <c r="Y18">
        <f>HYPERLINK("https://klasma.github.io/Logging_1060/klagomål/A 650-2022 FSC-klagomål.docx", "A 650-2022")</f>
        <v/>
      </c>
      <c r="Z18">
        <f>HYPERLINK("https://klasma.github.io/Logging_1060/klagomålsmail/A 650-2022 FSC-klagomål mail.docx", "A 650-2022")</f>
        <v/>
      </c>
      <c r="AA18">
        <f>HYPERLINK("https://klasma.github.io/Logging_1060/tillsyn/A 650-2022 tillsynsbegäran.docx", "A 650-2022")</f>
        <v/>
      </c>
      <c r="AB18">
        <f>HYPERLINK("https://klasma.github.io/Logging_1060/tillsynsmail/A 650-2022 tillsynsbegäran mail.docx", "A 650-2022")</f>
        <v/>
      </c>
    </row>
    <row r="19" ht="15" customHeight="1">
      <c r="A19" t="inlineStr">
        <is>
          <t>A 45688-2023</t>
        </is>
      </c>
      <c r="B19" t="inlineStr">
        <is>
          <t>avverkningsanmälan</t>
        </is>
      </c>
      <c r="C19" t="inlineStr">
        <is>
          <t>Föryngringsavverkning</t>
        </is>
      </c>
      <c r="D19" s="1" t="n">
        <v>45195</v>
      </c>
      <c r="E19" s="1" t="n">
        <v>46216</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s="2" t="inlineStr">
        <is>
          <t>Slåttergubbe</t>
        </is>
      </c>
      <c r="V19">
        <f>HYPERLINK("https://klasma.github.io/Logging_1060/artfynd/A 45688-2023 artfynd.xlsx", "A 45688-2023")</f>
        <v/>
      </c>
      <c r="W19">
        <f>HYPERLINK("https://klasma.github.io/Logging_1060/kartor/A 45688-2023 karta.png", "A 45688-2023")</f>
        <v/>
      </c>
      <c r="Y19">
        <f>HYPERLINK("https://klasma.github.io/Logging_1060/klagomål/A 45688-2023 FSC-klagomål.docx", "A 45688-2023")</f>
        <v/>
      </c>
      <c r="Z19">
        <f>HYPERLINK("https://klasma.github.io/Logging_1060/klagomålsmail/A 45688-2023 FSC-klagomål mail.docx", "A 45688-2023")</f>
        <v/>
      </c>
      <c r="AA19">
        <f>HYPERLINK("https://klasma.github.io/Logging_1060/tillsyn/A 45688-2023 tillsynsbegäran.docx", "A 45688-2023")</f>
        <v/>
      </c>
      <c r="AB19">
        <f>HYPERLINK("https://klasma.github.io/Logging_1060/tillsynsmail/A 45688-2023 tillsynsbegäran mail.docx", "A 45688-2023")</f>
        <v/>
      </c>
    </row>
    <row r="20" ht="15" customHeight="1">
      <c r="A20" t="inlineStr">
        <is>
          <t>A 34742-2023</t>
        </is>
      </c>
      <c r="B20" t="inlineStr">
        <is>
          <t>avverkningsanmälan</t>
        </is>
      </c>
      <c r="C20" t="inlineStr">
        <is>
          <t>Föryngringsavverkning</t>
        </is>
      </c>
      <c r="D20" s="1" t="n">
        <v>45141</v>
      </c>
      <c r="E20" s="1" t="n">
        <v>46216</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s="2" t="inlineStr">
        <is>
          <t>Guldlockmossa</t>
        </is>
      </c>
      <c r="V20">
        <f>HYPERLINK("https://klasma.github.io/Logging_1060/artfynd/A 34742-2023 artfynd.xlsx", "A 34742-2023")</f>
        <v/>
      </c>
      <c r="W20">
        <f>HYPERLINK("https://klasma.github.io/Logging_1060/kartor/A 34742-2023 karta.png", "A 34742-2023")</f>
        <v/>
      </c>
      <c r="Y20">
        <f>HYPERLINK("https://klasma.github.io/Logging_1060/klagomål/A 34742-2023 FSC-klagomål.docx", "A 34742-2023")</f>
        <v/>
      </c>
      <c r="Z20">
        <f>HYPERLINK("https://klasma.github.io/Logging_1060/klagomålsmail/A 34742-2023 FSC-klagomål mail.docx", "A 34742-2023")</f>
        <v/>
      </c>
      <c r="AA20">
        <f>HYPERLINK("https://klasma.github.io/Logging_1060/tillsyn/A 34742-2023 tillsynsbegäran.docx", "A 34742-2023")</f>
        <v/>
      </c>
      <c r="AB20">
        <f>HYPERLINK("https://klasma.github.io/Logging_1060/tillsynsmail/A 34742-2023 tillsynsbegäran mail.docx", "A 34742-2023")</f>
        <v/>
      </c>
    </row>
    <row r="21" ht="15" customHeight="1">
      <c r="A21" t="inlineStr">
        <is>
          <t>A 3711-2025</t>
        </is>
      </c>
      <c r="B21" t="inlineStr">
        <is>
          <t>avverkningsanmälan</t>
        </is>
      </c>
      <c r="C21" t="inlineStr">
        <is>
          <t>Föryngringsavverkning</t>
        </is>
      </c>
      <c r="D21" s="1" t="n">
        <v>45681</v>
      </c>
      <c r="E21" s="1" t="n">
        <v>46216</v>
      </c>
      <c r="F21" t="inlineStr">
        <is>
          <t>BLEKINGE LÄN</t>
        </is>
      </c>
      <c r="G21" t="inlineStr">
        <is>
          <t>OLOFSTRÖM</t>
        </is>
      </c>
      <c r="I21" t="n">
        <v>8.1</v>
      </c>
      <c r="J21" t="n">
        <v>1</v>
      </c>
      <c r="K21" t="n">
        <v>0</v>
      </c>
      <c r="L21" t="n">
        <v>0</v>
      </c>
      <c r="M21" t="n">
        <v>0</v>
      </c>
      <c r="N21" t="n">
        <v>0</v>
      </c>
      <c r="O21" t="n">
        <v>0</v>
      </c>
      <c r="P21" t="n">
        <v>0</v>
      </c>
      <c r="Q21" t="n">
        <v>0</v>
      </c>
      <c r="R21" t="n">
        <v>0</v>
      </c>
      <c r="S21" t="n">
        <v>1</v>
      </c>
      <c r="T21" t="n">
        <v>1</v>
      </c>
      <c r="U21" s="2" t="inlineStr">
        <is>
          <t>Revlummer</t>
        </is>
      </c>
      <c r="V21">
        <f>HYPERLINK("https://klasma.github.io/Logging_1060/artfynd/A 3711-2025 artfynd.xlsx", "A 3711-2025")</f>
        <v/>
      </c>
      <c r="W21">
        <f>HYPERLINK("https://klasma.github.io/Logging_1060/kartor/A 3711-2025 karta.png", "A 3711-2025")</f>
        <v/>
      </c>
      <c r="Y21">
        <f>HYPERLINK("https://klasma.github.io/Logging_1060/klagomål/A 3711-2025 FSC-klagomål.docx", "A 3711-2025")</f>
        <v/>
      </c>
      <c r="Z21">
        <f>HYPERLINK("https://klasma.github.io/Logging_1060/klagomålsmail/A 3711-2025 FSC-klagomål mail.docx", "A 3711-2025")</f>
        <v/>
      </c>
      <c r="AA21">
        <f>HYPERLINK("https://klasma.github.io/Logging_1060/tillsyn/A 3711-2025 tillsynsbegäran.docx", "A 3711-2025")</f>
        <v/>
      </c>
      <c r="AB21">
        <f>HYPERLINK("https://klasma.github.io/Logging_1060/tillsynsmail/A 3711-2025 tillsynsbegäran mail.docx", "A 3711-2025")</f>
        <v/>
      </c>
    </row>
    <row r="22" ht="15" customHeight="1">
      <c r="A22" t="inlineStr">
        <is>
          <t>A 49064-2024</t>
        </is>
      </c>
      <c r="B22" t="inlineStr">
        <is>
          <t>avverkningsanmälan</t>
        </is>
      </c>
      <c r="C22" t="inlineStr">
        <is>
          <t>Föryngringsavverkning</t>
        </is>
      </c>
      <c r="D22" s="1" t="n">
        <v>45594</v>
      </c>
      <c r="E22" s="1" t="n">
        <v>46216</v>
      </c>
      <c r="F22" t="inlineStr">
        <is>
          <t>BLEKINGE LÄN</t>
        </is>
      </c>
      <c r="G22" t="inlineStr">
        <is>
          <t>OLOFSTRÖM</t>
        </is>
      </c>
      <c r="I22" t="n">
        <v>4.8</v>
      </c>
      <c r="J22" t="n">
        <v>0</v>
      </c>
      <c r="K22" t="n">
        <v>0</v>
      </c>
      <c r="L22" t="n">
        <v>1</v>
      </c>
      <c r="M22" t="n">
        <v>0</v>
      </c>
      <c r="N22" t="n">
        <v>0</v>
      </c>
      <c r="O22" t="n">
        <v>0</v>
      </c>
      <c r="P22" t="n">
        <v>0</v>
      </c>
      <c r="Q22" t="n">
        <v>1</v>
      </c>
      <c r="R22" t="n">
        <v>0</v>
      </c>
      <c r="S22" t="n">
        <v>1</v>
      </c>
      <c r="T22" t="n">
        <v>2</v>
      </c>
      <c r="U22" s="2" t="inlineStr">
        <is>
          <t>Grönhjon</t>
        </is>
      </c>
      <c r="V22">
        <f>HYPERLINK("https://klasma.github.io/Logging_1060/artfynd/A 49064-2024 artfynd.xlsx", "A 49064-2024")</f>
        <v/>
      </c>
      <c r="W22">
        <f>HYPERLINK("https://klasma.github.io/Logging_1060/kartor/A 49064-2024 karta.png", "A 49064-2024")</f>
        <v/>
      </c>
      <c r="Y22">
        <f>HYPERLINK("https://klasma.github.io/Logging_1060/klagomål/A 49064-2024 FSC-klagomål.docx", "A 49064-2024")</f>
        <v/>
      </c>
      <c r="Z22">
        <f>HYPERLINK("https://klasma.github.io/Logging_1060/klagomålsmail/A 49064-2024 FSC-klagomål mail.docx", "A 49064-2024")</f>
        <v/>
      </c>
      <c r="AA22">
        <f>HYPERLINK("https://klasma.github.io/Logging_1060/tillsyn/A 49064-2024 tillsynsbegäran.docx", "A 49064-2024")</f>
        <v/>
      </c>
      <c r="AB22">
        <f>HYPERLINK("https://klasma.github.io/Logging_1060/tillsynsmail/A 49064-2024 tillsynsbegäran mail.docx", "A 49064-2024")</f>
        <v/>
      </c>
    </row>
    <row r="23" ht="15" customHeight="1">
      <c r="A23" t="inlineStr">
        <is>
          <t>A 2463-2026</t>
        </is>
      </c>
      <c r="B23" t="inlineStr">
        <is>
          <t>avverkningsanmälan</t>
        </is>
      </c>
      <c r="C23" t="inlineStr">
        <is>
          <t>Föryngringsavverkning</t>
        </is>
      </c>
      <c r="D23" s="1" t="n">
        <v>46037</v>
      </c>
      <c r="E23" s="1" t="n">
        <v>46216</v>
      </c>
      <c r="F23" t="inlineStr">
        <is>
          <t>BLEKINGE LÄN</t>
        </is>
      </c>
      <c r="G23" t="inlineStr">
        <is>
          <t>OLOFSTRÖM</t>
        </is>
      </c>
      <c r="I23" t="n">
        <v>5.2</v>
      </c>
      <c r="J23" t="n">
        <v>0</v>
      </c>
      <c r="K23" t="n">
        <v>0</v>
      </c>
      <c r="L23" t="n">
        <v>1</v>
      </c>
      <c r="M23" t="n">
        <v>0</v>
      </c>
      <c r="N23" t="n">
        <v>0</v>
      </c>
      <c r="O23" t="n">
        <v>0</v>
      </c>
      <c r="P23" t="n">
        <v>0</v>
      </c>
      <c r="Q23" t="n">
        <v>1</v>
      </c>
      <c r="R23" t="n">
        <v>0</v>
      </c>
      <c r="S23" t="n">
        <v>1</v>
      </c>
      <c r="T23" t="n">
        <v>3</v>
      </c>
      <c r="U23" s="2" t="inlineStr">
        <is>
          <t>Grönhjon</t>
        </is>
      </c>
      <c r="V23">
        <f>HYPERLINK("https://klasma.github.io/Logging_1060/artfynd/A 2463-2026 artfynd.xlsx", "A 2463-2026")</f>
        <v/>
      </c>
      <c r="W23">
        <f>HYPERLINK("https://klasma.github.io/Logging_1060/kartor/A 2463-2026 karta.png", "A 2463-2026")</f>
        <v/>
      </c>
      <c r="Y23">
        <f>HYPERLINK("https://klasma.github.io/Logging_1060/klagomål/A 2463-2026 FSC-klagomål.docx", "A 2463-2026")</f>
        <v/>
      </c>
      <c r="Z23">
        <f>HYPERLINK("https://klasma.github.io/Logging_1060/klagomålsmail/A 2463-2026 FSC-klagomål mail.docx", "A 2463-2026")</f>
        <v/>
      </c>
      <c r="AA23">
        <f>HYPERLINK("https://klasma.github.io/Logging_1060/tillsyn/A 2463-2026 tillsynsbegäran.docx", "A 2463-2026")</f>
        <v/>
      </c>
      <c r="AB23">
        <f>HYPERLINK("https://klasma.github.io/Logging_1060/tillsynsmail/A 2463-2026 tillsynsbegäran mail.docx", "A 2463-2026")</f>
        <v/>
      </c>
    </row>
    <row r="24" ht="15" customHeight="1">
      <c r="A24" t="inlineStr">
        <is>
          <t>A 47776-2023</t>
        </is>
      </c>
      <c r="B24" t="inlineStr">
        <is>
          <t>avverkningsanmälan</t>
        </is>
      </c>
      <c r="C24" t="inlineStr">
        <is>
          <t>Föryngringsavverkning</t>
        </is>
      </c>
      <c r="D24" s="1" t="n">
        <v>45203</v>
      </c>
      <c r="E24" s="1" t="n">
        <v>46216</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s="2" t="inlineStr">
        <is>
          <t>Mattlummer</t>
        </is>
      </c>
      <c r="V24">
        <f>HYPERLINK("https://klasma.github.io/Logging_1060/artfynd/A 47776-2023 artfynd.xlsx", "A 47776-2023")</f>
        <v/>
      </c>
      <c r="W24">
        <f>HYPERLINK("https://klasma.github.io/Logging_1060/kartor/A 47776-2023 karta.png", "A 47776-2023")</f>
        <v/>
      </c>
      <c r="Y24">
        <f>HYPERLINK("https://klasma.github.io/Logging_1060/klagomål/A 47776-2023 FSC-klagomål.docx", "A 47776-2023")</f>
        <v/>
      </c>
      <c r="Z24">
        <f>HYPERLINK("https://klasma.github.io/Logging_1060/klagomålsmail/A 47776-2023 FSC-klagomål mail.docx", "A 47776-2023")</f>
        <v/>
      </c>
      <c r="AA24">
        <f>HYPERLINK("https://klasma.github.io/Logging_1060/tillsyn/A 47776-2023 tillsynsbegäran.docx", "A 47776-2023")</f>
        <v/>
      </c>
      <c r="AB24">
        <f>HYPERLINK("https://klasma.github.io/Logging_1060/tillsynsmail/A 47776-2023 tillsynsbegäran mail.docx", "A 47776-2023")</f>
        <v/>
      </c>
    </row>
    <row r="25" ht="15" customHeight="1">
      <c r="A25" t="inlineStr">
        <is>
          <t>A 5425-2026</t>
        </is>
      </c>
      <c r="B25" t="inlineStr">
        <is>
          <t>avverkningsanmälan</t>
        </is>
      </c>
      <c r="C25" t="inlineStr">
        <is>
          <t>Föryngringsavverkning</t>
        </is>
      </c>
      <c r="D25" s="1" t="n">
        <v>46050</v>
      </c>
      <c r="E25" s="1" t="n">
        <v>46216</v>
      </c>
      <c r="F25" t="inlineStr">
        <is>
          <t>BLEKINGE LÄN</t>
        </is>
      </c>
      <c r="G25" t="inlineStr">
        <is>
          <t>OLOFSTRÖM</t>
        </is>
      </c>
      <c r="I25" t="n">
        <v>5.4</v>
      </c>
      <c r="J25" t="n">
        <v>1</v>
      </c>
      <c r="K25" t="n">
        <v>0</v>
      </c>
      <c r="L25" t="n">
        <v>0</v>
      </c>
      <c r="M25" t="n">
        <v>0</v>
      </c>
      <c r="N25" t="n">
        <v>0</v>
      </c>
      <c r="O25" t="n">
        <v>0</v>
      </c>
      <c r="P25" t="n">
        <v>0</v>
      </c>
      <c r="Q25" t="n">
        <v>0</v>
      </c>
      <c r="R25" t="n">
        <v>0</v>
      </c>
      <c r="S25" t="n">
        <v>1</v>
      </c>
      <c r="T25" t="n">
        <v>1</v>
      </c>
      <c r="U25" s="2" t="inlineStr">
        <is>
          <t>Revlummer</t>
        </is>
      </c>
      <c r="V25">
        <f>HYPERLINK("https://klasma.github.io/Logging_1060/artfynd/A 5425-2026 artfynd.xlsx", "A 5425-2026")</f>
        <v/>
      </c>
      <c r="W25">
        <f>HYPERLINK("https://klasma.github.io/Logging_1060/kartor/A 5425-2026 karta.png", "A 5425-2026")</f>
        <v/>
      </c>
      <c r="Y25">
        <f>HYPERLINK("https://klasma.github.io/Logging_1060/klagomål/A 5425-2026 FSC-klagomål.docx", "A 5425-2026")</f>
        <v/>
      </c>
      <c r="Z25">
        <f>HYPERLINK("https://klasma.github.io/Logging_1060/klagomålsmail/A 5425-2026 FSC-klagomål mail.docx", "A 5425-2026")</f>
        <v/>
      </c>
      <c r="AA25">
        <f>HYPERLINK("https://klasma.github.io/Logging_1060/tillsyn/A 5425-2026 tillsynsbegäran.docx", "A 5425-2026")</f>
        <v/>
      </c>
      <c r="AB25">
        <f>HYPERLINK("https://klasma.github.io/Logging_1060/tillsynsmail/A 5425-2026 tillsynsbegäran mail.docx", "A 5425-2026")</f>
        <v/>
      </c>
    </row>
    <row r="26" ht="15" customHeight="1">
      <c r="A26" t="inlineStr">
        <is>
          <t>A 39085-2024</t>
        </is>
      </c>
      <c r="B26" t="inlineStr">
        <is>
          <t>avverkningsanmälan</t>
        </is>
      </c>
      <c r="C26" t="inlineStr">
        <is>
          <t>Föryngringsavverkning</t>
        </is>
      </c>
      <c r="D26" s="1" t="n">
        <v>45548</v>
      </c>
      <c r="E26" s="1" t="n">
        <v>46216</v>
      </c>
      <c r="F26" t="inlineStr">
        <is>
          <t>BLEKINGE LÄN</t>
        </is>
      </c>
      <c r="G26" t="inlineStr">
        <is>
          <t>OLOFSTRÖM</t>
        </is>
      </c>
      <c r="I26" t="n">
        <v>2.3</v>
      </c>
      <c r="J26" t="n">
        <v>1</v>
      </c>
      <c r="K26" t="n">
        <v>1</v>
      </c>
      <c r="L26" t="n">
        <v>0</v>
      </c>
      <c r="M26" t="n">
        <v>0</v>
      </c>
      <c r="N26" t="n">
        <v>0</v>
      </c>
      <c r="O26" t="n">
        <v>0</v>
      </c>
      <c r="P26" t="n">
        <v>0</v>
      </c>
      <c r="Q26" t="n">
        <v>0</v>
      </c>
      <c r="R26" t="n">
        <v>0</v>
      </c>
      <c r="S26" t="n">
        <v>1</v>
      </c>
      <c r="T26" t="n">
        <v>1</v>
      </c>
      <c r="U26" s="2" t="inlineStr">
        <is>
          <t>Korallrot</t>
        </is>
      </c>
      <c r="V26">
        <f>HYPERLINK("https://klasma.github.io/Logging_1060/artfynd/A 39085-2024 artfynd.xlsx", "A 39085-2024")</f>
        <v/>
      </c>
      <c r="W26">
        <f>HYPERLINK("https://klasma.github.io/Logging_1060/kartor/A 39085-2024 karta.png", "A 39085-2024")</f>
        <v/>
      </c>
      <c r="Y26">
        <f>HYPERLINK("https://klasma.github.io/Logging_1060/klagomål/A 39085-2024 FSC-klagomål.docx", "A 39085-2024")</f>
        <v/>
      </c>
      <c r="Z26">
        <f>HYPERLINK("https://klasma.github.io/Logging_1060/klagomålsmail/A 39085-2024 FSC-klagomål mail.docx", "A 39085-2024")</f>
        <v/>
      </c>
      <c r="AA26">
        <f>HYPERLINK("https://klasma.github.io/Logging_1060/tillsyn/A 39085-2024 tillsynsbegäran.docx", "A 39085-2024")</f>
        <v/>
      </c>
      <c r="AB26">
        <f>HYPERLINK("https://klasma.github.io/Logging_1060/tillsynsmail/A 39085-2024 tillsynsbegäran mail.docx", "A 39085-2024")</f>
        <v/>
      </c>
    </row>
    <row r="27" ht="15" customHeight="1">
      <c r="A27" t="inlineStr">
        <is>
          <t>A 39104-2024</t>
        </is>
      </c>
      <c r="B27" t="inlineStr">
        <is>
          <t>avverkningsanmälan</t>
        </is>
      </c>
      <c r="C27" t="inlineStr">
        <is>
          <t>Föryngringsavverkning</t>
        </is>
      </c>
      <c r="D27" s="1" t="n">
        <v>45548</v>
      </c>
      <c r="E27" s="1" t="n">
        <v>46216</v>
      </c>
      <c r="F27" t="inlineStr">
        <is>
          <t>BLEKINGE LÄN</t>
        </is>
      </c>
      <c r="G27" t="inlineStr">
        <is>
          <t>OLOFSTRÖM</t>
        </is>
      </c>
      <c r="I27" t="n">
        <v>7.7</v>
      </c>
      <c r="J27" t="n">
        <v>0</v>
      </c>
      <c r="K27" t="n">
        <v>1</v>
      </c>
      <c r="L27" t="n">
        <v>0</v>
      </c>
      <c r="M27" t="n">
        <v>0</v>
      </c>
      <c r="N27" t="n">
        <v>0</v>
      </c>
      <c r="O27" t="n">
        <v>0</v>
      </c>
      <c r="P27" t="n">
        <v>0</v>
      </c>
      <c r="Q27" t="n">
        <v>0</v>
      </c>
      <c r="R27" t="n">
        <v>0</v>
      </c>
      <c r="S27" t="n">
        <v>1</v>
      </c>
      <c r="T27" t="n">
        <v>1</v>
      </c>
      <c r="U27" s="2" t="inlineStr">
        <is>
          <t>Sotriska</t>
        </is>
      </c>
      <c r="V27">
        <f>HYPERLINK("https://klasma.github.io/Logging_1060/artfynd/A 39104-2024 artfynd.xlsx", "A 39104-2024")</f>
        <v/>
      </c>
      <c r="W27">
        <f>HYPERLINK("https://klasma.github.io/Logging_1060/kartor/A 39104-2024 karta.png", "A 39104-2024")</f>
        <v/>
      </c>
      <c r="Y27">
        <f>HYPERLINK("https://klasma.github.io/Logging_1060/klagomål/A 39104-2024 FSC-klagomål.docx", "A 39104-2024")</f>
        <v/>
      </c>
      <c r="Z27">
        <f>HYPERLINK("https://klasma.github.io/Logging_1060/klagomålsmail/A 39104-2024 FSC-klagomål mail.docx", "A 39104-2024")</f>
        <v/>
      </c>
      <c r="AA27">
        <f>HYPERLINK("https://klasma.github.io/Logging_1060/tillsyn/A 39104-2024 tillsynsbegäran.docx", "A 39104-2024")</f>
        <v/>
      </c>
      <c r="AB27">
        <f>HYPERLINK("https://klasma.github.io/Logging_1060/tillsynsmail/A 39104-2024 tillsynsbegäran mail.docx", "A 39104-2024")</f>
        <v/>
      </c>
    </row>
    <row r="28" ht="15" customHeight="1">
      <c r="A28" t="inlineStr">
        <is>
          <t>A 27979-2023</t>
        </is>
      </c>
      <c r="B28" t="inlineStr">
        <is>
          <t>avverkningsanmälan</t>
        </is>
      </c>
      <c r="C28" t="inlineStr">
        <is>
          <t>Föryngringsavverkning</t>
        </is>
      </c>
      <c r="D28" s="1" t="n">
        <v>45098</v>
      </c>
      <c r="E28" s="1" t="n">
        <v>46216</v>
      </c>
      <c r="F28" t="inlineStr">
        <is>
          <t>BLEKINGE LÄN</t>
        </is>
      </c>
      <c r="G28" t="inlineStr">
        <is>
          <t>OLOFSTRÖM</t>
        </is>
      </c>
      <c r="I28" t="n">
        <v>1.9</v>
      </c>
      <c r="J28" t="n">
        <v>1</v>
      </c>
      <c r="K28" t="n">
        <v>0</v>
      </c>
      <c r="L28" t="n">
        <v>0</v>
      </c>
      <c r="M28" t="n">
        <v>0</v>
      </c>
      <c r="N28" t="n">
        <v>0</v>
      </c>
      <c r="O28" t="n">
        <v>0</v>
      </c>
      <c r="P28" t="n">
        <v>0</v>
      </c>
      <c r="Q28" t="n">
        <v>0</v>
      </c>
      <c r="R28" t="n">
        <v>0</v>
      </c>
      <c r="S28" t="n">
        <v>1</v>
      </c>
      <c r="T28" t="n">
        <v>1</v>
      </c>
      <c r="U28" s="2" t="inlineStr">
        <is>
          <t>Blåsippa</t>
        </is>
      </c>
      <c r="V28">
        <f>HYPERLINK("https://klasma.github.io/Logging_1060/artfynd/A 27979-2023 artfynd.xlsx", "A 27979-2023")</f>
        <v/>
      </c>
      <c r="W28">
        <f>HYPERLINK("https://klasma.github.io/Logging_1060/kartor/A 27979-2023 karta.png", "A 27979-2023")</f>
        <v/>
      </c>
      <c r="Y28">
        <f>HYPERLINK("https://klasma.github.io/Logging_1060/klagomål/A 27979-2023 FSC-klagomål.docx", "A 27979-2023")</f>
        <v/>
      </c>
      <c r="Z28">
        <f>HYPERLINK("https://klasma.github.io/Logging_1060/klagomålsmail/A 27979-2023 FSC-klagomål mail.docx", "A 27979-2023")</f>
        <v/>
      </c>
      <c r="AA28">
        <f>HYPERLINK("https://klasma.github.io/Logging_1060/tillsyn/A 27979-2023 tillsynsbegäran.docx", "A 27979-2023")</f>
        <v/>
      </c>
      <c r="AB28">
        <f>HYPERLINK("https://klasma.github.io/Logging_1060/tillsynsmail/A 27979-2023 tillsynsbegäran mail.docx", "A 27979-2023")</f>
        <v/>
      </c>
    </row>
    <row r="29" ht="15" customHeight="1">
      <c r="A29" t="inlineStr">
        <is>
          <t>A 33416-2023</t>
        </is>
      </c>
      <c r="B29" t="inlineStr">
        <is>
          <t>avverkningsanmälan</t>
        </is>
      </c>
      <c r="C29" t="inlineStr">
        <is>
          <t>Föryngringsavverkning</t>
        </is>
      </c>
      <c r="D29" s="1" t="n">
        <v>45117</v>
      </c>
      <c r="E29" s="1" t="n">
        <v>46216</v>
      </c>
      <c r="F29" t="inlineStr">
        <is>
          <t>BLEKINGE LÄN</t>
        </is>
      </c>
      <c r="G29" t="inlineStr">
        <is>
          <t>OLOFSTRÖM</t>
        </is>
      </c>
      <c r="I29" t="n">
        <v>2.1</v>
      </c>
      <c r="J29" t="n">
        <v>0</v>
      </c>
      <c r="K29" t="n">
        <v>1</v>
      </c>
      <c r="L29" t="n">
        <v>0</v>
      </c>
      <c r="M29" t="n">
        <v>0</v>
      </c>
      <c r="N29" t="n">
        <v>0</v>
      </c>
      <c r="O29" t="n">
        <v>0</v>
      </c>
      <c r="P29" t="n">
        <v>0</v>
      </c>
      <c r="Q29" t="n">
        <v>0</v>
      </c>
      <c r="R29" t="n">
        <v>0</v>
      </c>
      <c r="S29" t="n">
        <v>1</v>
      </c>
      <c r="T29" t="n">
        <v>1</v>
      </c>
      <c r="U29" s="2" t="inlineStr">
        <is>
          <t>Skogsbräsma</t>
        </is>
      </c>
      <c r="V29">
        <f>HYPERLINK("https://klasma.github.io/Logging_1060/artfynd/A 33416-2023 artfynd.xlsx", "A 33416-2023")</f>
        <v/>
      </c>
      <c r="W29">
        <f>HYPERLINK("https://klasma.github.io/Logging_1060/kartor/A 33416-2023 karta.png", "A 33416-2023")</f>
        <v/>
      </c>
      <c r="Y29">
        <f>HYPERLINK("https://klasma.github.io/Logging_1060/klagomål/A 33416-2023 FSC-klagomål.docx", "A 33416-2023")</f>
        <v/>
      </c>
      <c r="Z29">
        <f>HYPERLINK("https://klasma.github.io/Logging_1060/klagomålsmail/A 33416-2023 FSC-klagomål mail.docx", "A 33416-2023")</f>
        <v/>
      </c>
      <c r="AA29">
        <f>HYPERLINK("https://klasma.github.io/Logging_1060/tillsyn/A 33416-2023 tillsynsbegäran.docx", "A 33416-2023")</f>
        <v/>
      </c>
      <c r="AB29">
        <f>HYPERLINK("https://klasma.github.io/Logging_1060/tillsynsmail/A 33416-2023 tillsynsbegäran mail.docx", "A 33416-2023")</f>
        <v/>
      </c>
    </row>
    <row r="30" ht="15" customHeight="1">
      <c r="A30" t="inlineStr">
        <is>
          <t>A 9313-2026</t>
        </is>
      </c>
      <c r="B30" t="inlineStr">
        <is>
          <t>avverkningsanmälan</t>
        </is>
      </c>
      <c r="C30" t="inlineStr">
        <is>
          <t>Föryngringsavverkning</t>
        </is>
      </c>
      <c r="D30" s="1" t="n">
        <v>46070</v>
      </c>
      <c r="E30" s="1" t="n">
        <v>46216</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s="2" t="inlineStr">
        <is>
          <t>Mattlummer</t>
        </is>
      </c>
      <c r="V30">
        <f>HYPERLINK("https://klasma.github.io/Logging_1060/artfynd/A 9313-2026 artfynd.xlsx", "A 9313-2026")</f>
        <v/>
      </c>
      <c r="W30">
        <f>HYPERLINK("https://klasma.github.io/Logging_1060/kartor/A 9313-2026 karta.png", "A 9313-2026")</f>
        <v/>
      </c>
      <c r="Y30">
        <f>HYPERLINK("https://klasma.github.io/Logging_1060/klagomål/A 9313-2026 FSC-klagomål.docx", "A 9313-2026")</f>
        <v/>
      </c>
      <c r="Z30">
        <f>HYPERLINK("https://klasma.github.io/Logging_1060/klagomålsmail/A 9313-2026 FSC-klagomål mail.docx", "A 9313-2026")</f>
        <v/>
      </c>
      <c r="AA30">
        <f>HYPERLINK("https://klasma.github.io/Logging_1060/tillsyn/A 9313-2026 tillsynsbegäran.docx", "A 9313-2026")</f>
        <v/>
      </c>
      <c r="AB30">
        <f>HYPERLINK("https://klasma.github.io/Logging_1060/tillsynsmail/A 9313-2026 tillsynsbegäran mail.docx", "A 9313-2026")</f>
        <v/>
      </c>
    </row>
    <row r="31" ht="15" customHeight="1">
      <c r="A31" t="inlineStr">
        <is>
          <t>A 48467-2022</t>
        </is>
      </c>
      <c r="B31" t="inlineStr">
        <is>
          <t>avverkningsanmälan</t>
        </is>
      </c>
      <c r="C31" t="inlineStr">
        <is>
          <t>Föryngringsavverkning</t>
        </is>
      </c>
      <c r="D31" s="1" t="n">
        <v>44858</v>
      </c>
      <c r="E31" s="1" t="n">
        <v>46216</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s="2" t="inlineStr">
        <is>
          <t>Småvänderot</t>
        </is>
      </c>
      <c r="V31">
        <f>HYPERLINK("https://klasma.github.io/Logging_1060/artfynd/A 48467-2022 artfynd.xlsx", "A 48467-2022")</f>
        <v/>
      </c>
      <c r="W31">
        <f>HYPERLINK("https://klasma.github.io/Logging_1060/kartor/A 48467-2022 karta.png", "A 48467-2022")</f>
        <v/>
      </c>
      <c r="Y31">
        <f>HYPERLINK("https://klasma.github.io/Logging_1060/klagomål/A 48467-2022 FSC-klagomål.docx", "A 48467-2022")</f>
        <v/>
      </c>
      <c r="Z31">
        <f>HYPERLINK("https://klasma.github.io/Logging_1060/klagomålsmail/A 48467-2022 FSC-klagomål mail.docx", "A 48467-2022")</f>
        <v/>
      </c>
      <c r="AA31">
        <f>HYPERLINK("https://klasma.github.io/Logging_1060/tillsyn/A 48467-2022 tillsynsbegäran.docx", "A 48467-2022")</f>
        <v/>
      </c>
      <c r="AB31">
        <f>HYPERLINK("https://klasma.github.io/Logging_1060/tillsynsmail/A 48467-2022 tillsynsbegäran mail.docx", "A 48467-2022")</f>
        <v/>
      </c>
    </row>
    <row r="32" ht="15" customHeight="1">
      <c r="A32" t="inlineStr">
        <is>
          <t>A 12792-2025</t>
        </is>
      </c>
      <c r="B32" t="inlineStr">
        <is>
          <t>avverkningsanmälan</t>
        </is>
      </c>
      <c r="C32" t="inlineStr">
        <is>
          <t>Föryngringsavverkning</t>
        </is>
      </c>
      <c r="D32" s="1" t="n">
        <v>45733</v>
      </c>
      <c r="E32" s="1" t="n">
        <v>46216</v>
      </c>
      <c r="F32" t="inlineStr">
        <is>
          <t>BLEKINGE LÄN</t>
        </is>
      </c>
      <c r="G32" t="inlineStr">
        <is>
          <t>OLOFSTRÖM</t>
        </is>
      </c>
      <c r="I32" t="n">
        <v>2.4</v>
      </c>
      <c r="J32" t="n">
        <v>1</v>
      </c>
      <c r="K32" t="n">
        <v>0</v>
      </c>
      <c r="L32" t="n">
        <v>0</v>
      </c>
      <c r="M32" t="n">
        <v>0</v>
      </c>
      <c r="N32" t="n">
        <v>0</v>
      </c>
      <c r="O32" t="n">
        <v>0</v>
      </c>
      <c r="P32" t="n">
        <v>0</v>
      </c>
      <c r="Q32" t="n">
        <v>0</v>
      </c>
      <c r="R32" t="n">
        <v>0</v>
      </c>
      <c r="S32" t="n">
        <v>1</v>
      </c>
      <c r="T32" t="n">
        <v>1</v>
      </c>
      <c r="U32" s="2" t="inlineStr">
        <is>
          <t>Mattlummer</t>
        </is>
      </c>
      <c r="V32">
        <f>HYPERLINK("https://klasma.github.io/Logging_1060/artfynd/A 12792-2025 artfynd.xlsx", "A 12792-2025")</f>
        <v/>
      </c>
      <c r="W32">
        <f>HYPERLINK("https://klasma.github.io/Logging_1060/kartor/A 12792-2025 karta.png", "A 12792-2025")</f>
        <v/>
      </c>
      <c r="Y32">
        <f>HYPERLINK("https://klasma.github.io/Logging_1060/klagomål/A 12792-2025 FSC-klagomål.docx", "A 12792-2025")</f>
        <v/>
      </c>
      <c r="Z32">
        <f>HYPERLINK("https://klasma.github.io/Logging_1060/klagomålsmail/A 12792-2025 FSC-klagomål mail.docx", "A 12792-2025")</f>
        <v/>
      </c>
      <c r="AA32">
        <f>HYPERLINK("https://klasma.github.io/Logging_1060/tillsyn/A 12792-2025 tillsynsbegäran.docx", "A 12792-2025")</f>
        <v/>
      </c>
      <c r="AB32">
        <f>HYPERLINK("https://klasma.github.io/Logging_1060/tillsynsmail/A 12792-2025 tillsynsbegäran mail.docx", "A 12792-2025")</f>
        <v/>
      </c>
    </row>
    <row r="33" ht="15" customHeight="1">
      <c r="A33" t="inlineStr">
        <is>
          <t>A 46675-2024</t>
        </is>
      </c>
      <c r="B33" t="inlineStr">
        <is>
          <t>avverkningsanmälan</t>
        </is>
      </c>
      <c r="C33" t="inlineStr">
        <is>
          <t>Föryngringsavverkning</t>
        </is>
      </c>
      <c r="D33" s="1" t="n">
        <v>45583</v>
      </c>
      <c r="E33" s="1" t="n">
        <v>46216</v>
      </c>
      <c r="F33" t="inlineStr">
        <is>
          <t>BLEKINGE LÄN</t>
        </is>
      </c>
      <c r="G33" t="inlineStr">
        <is>
          <t>OLOFSTRÖM</t>
        </is>
      </c>
      <c r="I33" t="n">
        <v>2.7</v>
      </c>
      <c r="J33" t="n">
        <v>0</v>
      </c>
      <c r="K33" t="n">
        <v>0</v>
      </c>
      <c r="L33" t="n">
        <v>1</v>
      </c>
      <c r="M33" t="n">
        <v>0</v>
      </c>
      <c r="N33" t="n">
        <v>0</v>
      </c>
      <c r="O33" t="n">
        <v>0</v>
      </c>
      <c r="P33" t="n">
        <v>0</v>
      </c>
      <c r="Q33" t="n">
        <v>1</v>
      </c>
      <c r="R33" t="n">
        <v>0</v>
      </c>
      <c r="S33" t="n">
        <v>1</v>
      </c>
      <c r="T33" t="n">
        <v>1</v>
      </c>
      <c r="U33" s="2" t="inlineStr">
        <is>
          <t>Sommarfibbla</t>
        </is>
      </c>
      <c r="V33">
        <f>HYPERLINK("https://klasma.github.io/Logging_1060/artfynd/A 46675-2024 artfynd.xlsx", "A 46675-2024")</f>
        <v/>
      </c>
      <c r="W33">
        <f>HYPERLINK("https://klasma.github.io/Logging_1060/kartor/A 46675-2024 karta.png", "A 46675-2024")</f>
        <v/>
      </c>
      <c r="Y33">
        <f>HYPERLINK("https://klasma.github.io/Logging_1060/klagomål/A 46675-2024 FSC-klagomål.docx", "A 46675-2024")</f>
        <v/>
      </c>
      <c r="Z33">
        <f>HYPERLINK("https://klasma.github.io/Logging_1060/klagomålsmail/A 46675-2024 FSC-klagomål mail.docx", "A 46675-2024")</f>
        <v/>
      </c>
      <c r="AA33">
        <f>HYPERLINK("https://klasma.github.io/Logging_1060/tillsyn/A 46675-2024 tillsynsbegäran.docx", "A 46675-2024")</f>
        <v/>
      </c>
      <c r="AB33">
        <f>HYPERLINK("https://klasma.github.io/Logging_1060/tillsynsmail/A 46675-2024 tillsynsbegäran mail.docx", "A 46675-2024")</f>
        <v/>
      </c>
    </row>
    <row r="34" ht="15" customHeight="1">
      <c r="A34" t="inlineStr">
        <is>
          <t>A 56583-2024</t>
        </is>
      </c>
      <c r="B34" t="inlineStr">
        <is>
          <t>avverkningsanmälan</t>
        </is>
      </c>
      <c r="C34" t="inlineStr">
        <is>
          <t>Föryngringsavverkning</t>
        </is>
      </c>
      <c r="D34" s="1" t="n">
        <v>45625</v>
      </c>
      <c r="E34" s="1" t="n">
        <v>46216</v>
      </c>
      <c r="F34" t="inlineStr">
        <is>
          <t>BLEKINGE LÄN</t>
        </is>
      </c>
      <c r="G34" t="inlineStr">
        <is>
          <t>OLOFSTRÖM</t>
        </is>
      </c>
      <c r="I34" t="n">
        <v>2.7</v>
      </c>
      <c r="J34" t="n">
        <v>0</v>
      </c>
      <c r="K34" t="n">
        <v>1</v>
      </c>
      <c r="L34" t="n">
        <v>0</v>
      </c>
      <c r="M34" t="n">
        <v>0</v>
      </c>
      <c r="N34" t="n">
        <v>0</v>
      </c>
      <c r="O34" t="n">
        <v>0</v>
      </c>
      <c r="P34" t="n">
        <v>0</v>
      </c>
      <c r="Q34" t="n">
        <v>0</v>
      </c>
      <c r="R34" t="n">
        <v>0</v>
      </c>
      <c r="S34" t="n">
        <v>1</v>
      </c>
      <c r="T34" t="n">
        <v>1</v>
      </c>
      <c r="U34" s="2" t="inlineStr">
        <is>
          <t>Brandticka</t>
        </is>
      </c>
      <c r="V34">
        <f>HYPERLINK("https://klasma.github.io/Logging_1060/artfynd/A 56583-2024 artfynd.xlsx", "A 56583-2024")</f>
        <v/>
      </c>
      <c r="W34">
        <f>HYPERLINK("https://klasma.github.io/Logging_1060/kartor/A 56583-2024 karta.png", "A 56583-2024")</f>
        <v/>
      </c>
      <c r="Y34">
        <f>HYPERLINK("https://klasma.github.io/Logging_1060/klagomål/A 56583-2024 FSC-klagomål.docx", "A 56583-2024")</f>
        <v/>
      </c>
      <c r="Z34">
        <f>HYPERLINK("https://klasma.github.io/Logging_1060/klagomålsmail/A 56583-2024 FSC-klagomål mail.docx", "A 56583-2024")</f>
        <v/>
      </c>
      <c r="AA34">
        <f>HYPERLINK("https://klasma.github.io/Logging_1060/tillsyn/A 56583-2024 tillsynsbegäran.docx", "A 56583-2024")</f>
        <v/>
      </c>
      <c r="AB34">
        <f>HYPERLINK("https://klasma.github.io/Logging_1060/tillsynsmail/A 56583-2024 tillsynsbegäran mail.docx", "A 56583-2024")</f>
        <v/>
      </c>
    </row>
    <row r="35" ht="15" customHeight="1">
      <c r="A35" t="inlineStr">
        <is>
          <t>S 469-2026</t>
        </is>
      </c>
      <c r="B35" t="inlineStr">
        <is>
          <t>samrådsanmälan</t>
        </is>
      </c>
      <c r="C35" t="inlineStr">
        <is>
          <t>Askåterföring</t>
        </is>
      </c>
      <c r="D35" s="1" t="n">
        <v>46073</v>
      </c>
      <c r="E35" s="1" t="n">
        <v>46216</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Y35">
        <f>HYPERLINK("https://klasma.github.io/Logging_1060/klagomål/S 469-2026 FSC-klagomål.docx", "S 469-2026")</f>
        <v/>
      </c>
      <c r="Z35">
        <f>HYPERLINK("https://klasma.github.io/Logging_1060/klagomålsmail/S 469-2026 FSC-klagomål mail.docx", "S 469-2026")</f>
        <v/>
      </c>
      <c r="AA35">
        <f>HYPERLINK("https://klasma.github.io/Logging_1060/tillsyn/S 469-2026 tillsynsbegäran.docx", "S 469-2026")</f>
        <v/>
      </c>
      <c r="AB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46216</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Y36">
        <f>HYPERLINK("https://klasma.github.io/Logging_1060/klagomål/S 631-2026 FSC-klagomål.docx", "S 631-2026")</f>
        <v/>
      </c>
      <c r="Z36">
        <f>HYPERLINK("https://klasma.github.io/Logging_1060/klagomålsmail/S 631-2026 FSC-klagomål mail.docx", "S 631-2026")</f>
        <v/>
      </c>
      <c r="AA36">
        <f>HYPERLINK("https://klasma.github.io/Logging_1060/tillsyn/S 631-2026 tillsynsbegäran.docx", "S 631-2026")</f>
        <v/>
      </c>
      <c r="AB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46216</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s="2" t="inlineStr"/>
    </row>
    <row r="38" ht="15" customHeight="1">
      <c r="A38" t="inlineStr">
        <is>
          <t>A 24430-2022</t>
        </is>
      </c>
      <c r="B38" t="inlineStr">
        <is>
          <t>avverkningsanmälan</t>
        </is>
      </c>
      <c r="C38" t="inlineStr">
        <is>
          <t>Föryngringsavverkning</t>
        </is>
      </c>
      <c r="D38" s="1" t="n">
        <v>44726</v>
      </c>
      <c r="E38" s="1" t="n">
        <v>46216</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s="2" t="inlineStr"/>
    </row>
    <row r="39" ht="15" customHeight="1">
      <c r="A39" t="inlineStr">
        <is>
          <t>A 24428-2022</t>
        </is>
      </c>
      <c r="B39" t="inlineStr">
        <is>
          <t>avverkningsanmälan</t>
        </is>
      </c>
      <c r="C39" t="inlineStr">
        <is>
          <t>Föryngringsavverkning</t>
        </is>
      </c>
      <c r="D39" s="1" t="n">
        <v>44726</v>
      </c>
      <c r="E39" s="1" t="n">
        <v>46216</v>
      </c>
      <c r="F39" t="inlineStr">
        <is>
          <t>BLEKINGE LÄN</t>
        </is>
      </c>
      <c r="G39" t="inlineStr">
        <is>
          <t>OLOFSTRÖM</t>
        </is>
      </c>
      <c r="I39" t="n">
        <v>0.6</v>
      </c>
      <c r="J39" t="n">
        <v>0</v>
      </c>
      <c r="K39" t="n">
        <v>0</v>
      </c>
      <c r="L39" t="n">
        <v>0</v>
      </c>
      <c r="M39" t="n">
        <v>0</v>
      </c>
      <c r="N39" t="n">
        <v>0</v>
      </c>
      <c r="O39" t="n">
        <v>0</v>
      </c>
      <c r="P39" t="n">
        <v>0</v>
      </c>
      <c r="Q39" t="n">
        <v>0</v>
      </c>
      <c r="R39" t="n">
        <v>0</v>
      </c>
      <c r="S39" t="n">
        <v>0</v>
      </c>
      <c r="T39" t="n">
        <v>0</v>
      </c>
      <c r="U39" s="2" t="inlineStr"/>
    </row>
    <row r="40" ht="15" customHeight="1">
      <c r="A40" t="inlineStr">
        <is>
          <t>A 62420-2021</t>
        </is>
      </c>
      <c r="B40" t="inlineStr">
        <is>
          <t>avverkningsanmälan</t>
        </is>
      </c>
      <c r="C40" t="inlineStr">
        <is>
          <t>Föryngringsavverkning</t>
        </is>
      </c>
      <c r="D40" s="1" t="n">
        <v>44503</v>
      </c>
      <c r="E40" s="1" t="n">
        <v>46216</v>
      </c>
      <c r="F40" t="inlineStr">
        <is>
          <t>BLEKINGE LÄN</t>
        </is>
      </c>
      <c r="G40" t="inlineStr">
        <is>
          <t>OLOFSTRÖM</t>
        </is>
      </c>
      <c r="I40" t="n">
        <v>4.3</v>
      </c>
      <c r="J40" t="n">
        <v>0</v>
      </c>
      <c r="K40" t="n">
        <v>0</v>
      </c>
      <c r="L40" t="n">
        <v>0</v>
      </c>
      <c r="M40" t="n">
        <v>0</v>
      </c>
      <c r="N40" t="n">
        <v>0</v>
      </c>
      <c r="O40" t="n">
        <v>0</v>
      </c>
      <c r="P40" t="n">
        <v>0</v>
      </c>
      <c r="Q40" t="n">
        <v>0</v>
      </c>
      <c r="R40" t="n">
        <v>0</v>
      </c>
      <c r="S40" t="n">
        <v>0</v>
      </c>
      <c r="T40" t="n">
        <v>0</v>
      </c>
      <c r="U40" s="2" t="inlineStr"/>
    </row>
    <row r="41" ht="15" customHeight="1">
      <c r="A41" t="inlineStr">
        <is>
          <t>A 8316-2022</t>
        </is>
      </c>
      <c r="B41" t="inlineStr">
        <is>
          <t>avverkningsanmälan</t>
        </is>
      </c>
      <c r="C41" t="inlineStr">
        <is>
          <t>Föryngringsavverkning</t>
        </is>
      </c>
      <c r="D41" s="1" t="n">
        <v>44610</v>
      </c>
      <c r="E41" s="1" t="n">
        <v>46216</v>
      </c>
      <c r="F41" t="inlineStr">
        <is>
          <t>BLEKINGE LÄN</t>
        </is>
      </c>
      <c r="G41" t="inlineStr">
        <is>
          <t>OLOFSTRÖM</t>
        </is>
      </c>
      <c r="I41" t="n">
        <v>3.9</v>
      </c>
      <c r="J41" t="n">
        <v>0</v>
      </c>
      <c r="K41" t="n">
        <v>0</v>
      </c>
      <c r="L41" t="n">
        <v>0</v>
      </c>
      <c r="M41" t="n">
        <v>0</v>
      </c>
      <c r="N41" t="n">
        <v>0</v>
      </c>
      <c r="O41" t="n">
        <v>0</v>
      </c>
      <c r="P41" t="n">
        <v>0</v>
      </c>
      <c r="Q41" t="n">
        <v>0</v>
      </c>
      <c r="R41" t="n">
        <v>0</v>
      </c>
      <c r="S41" t="n">
        <v>0</v>
      </c>
      <c r="T41" t="n">
        <v>0</v>
      </c>
      <c r="U41" s="2" t="inlineStr"/>
    </row>
    <row r="42" ht="15" customHeight="1">
      <c r="A42" t="inlineStr">
        <is>
          <t>A 8325-2022</t>
        </is>
      </c>
      <c r="B42" t="inlineStr">
        <is>
          <t>avverkningsanmälan</t>
        </is>
      </c>
      <c r="C42" t="inlineStr">
        <is>
          <t>Föryngringsavverkning</t>
        </is>
      </c>
      <c r="D42" s="1" t="n">
        <v>44610</v>
      </c>
      <c r="E42" s="1" t="n">
        <v>46216</v>
      </c>
      <c r="F42" t="inlineStr">
        <is>
          <t>BLEKINGE LÄN</t>
        </is>
      </c>
      <c r="G42" t="inlineStr">
        <is>
          <t>OLOFSTRÖM</t>
        </is>
      </c>
      <c r="I42" t="n">
        <v>0.7</v>
      </c>
      <c r="J42" t="n">
        <v>0</v>
      </c>
      <c r="K42" t="n">
        <v>0</v>
      </c>
      <c r="L42" t="n">
        <v>0</v>
      </c>
      <c r="M42" t="n">
        <v>0</v>
      </c>
      <c r="N42" t="n">
        <v>0</v>
      </c>
      <c r="O42" t="n">
        <v>0</v>
      </c>
      <c r="P42" t="n">
        <v>0</v>
      </c>
      <c r="Q42" t="n">
        <v>0</v>
      </c>
      <c r="R42" t="n">
        <v>0</v>
      </c>
      <c r="S42" t="n">
        <v>0</v>
      </c>
      <c r="T42" t="n">
        <v>0</v>
      </c>
      <c r="U42" s="2" t="inlineStr"/>
    </row>
    <row r="43" ht="15" customHeight="1">
      <c r="A43" t="inlineStr">
        <is>
          <t>A 8320-2022</t>
        </is>
      </c>
      <c r="B43" t="inlineStr">
        <is>
          <t>avverkningsanmälan</t>
        </is>
      </c>
      <c r="C43" t="inlineStr">
        <is>
          <t>Föryngringsavverkning</t>
        </is>
      </c>
      <c r="D43" s="1" t="n">
        <v>44610</v>
      </c>
      <c r="E43" s="1" t="n">
        <v>46216</v>
      </c>
      <c r="F43" t="inlineStr">
        <is>
          <t>BLEKINGE LÄN</t>
        </is>
      </c>
      <c r="G43" t="inlineStr">
        <is>
          <t>OLOFSTRÖM</t>
        </is>
      </c>
      <c r="I43" t="n">
        <v>1</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46216</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46216</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46216</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46216</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46216</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46216</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46216</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46216</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46216</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46216</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46216</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46216</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46216</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46216</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46216</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46216</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46216</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46216</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46216</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46216</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46216</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46216</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46216</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20469-2022</t>
        </is>
      </c>
      <c r="B67" t="inlineStr">
        <is>
          <t>avverkningsanmälan</t>
        </is>
      </c>
      <c r="C67" t="inlineStr">
        <is>
          <t>Föryngringsavverkning</t>
        </is>
      </c>
      <c r="D67" s="1" t="n">
        <v>44699</v>
      </c>
      <c r="E67" s="1" t="n">
        <v>46216</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s="2" t="inlineStr"/>
    </row>
    <row r="68" ht="15" customHeight="1">
      <c r="A68" t="inlineStr">
        <is>
          <t>A 73441-2021</t>
        </is>
      </c>
      <c r="B68" t="inlineStr">
        <is>
          <t>avverkningsanmälan</t>
        </is>
      </c>
      <c r="C68" t="inlineStr">
        <is>
          <t>Föryngringsavverkning</t>
        </is>
      </c>
      <c r="D68" s="1" t="n">
        <v>44551</v>
      </c>
      <c r="E68" s="1" t="n">
        <v>46216</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s="2" t="inlineStr"/>
    </row>
    <row r="69" ht="15" customHeight="1">
      <c r="A69" t="inlineStr">
        <is>
          <t>A 73441-2021</t>
        </is>
      </c>
      <c r="B69" t="inlineStr">
        <is>
          <t>avverkningsanmälan</t>
        </is>
      </c>
      <c r="C69" t="inlineStr">
        <is>
          <t>Föryngringsavverkning</t>
        </is>
      </c>
      <c r="D69" s="1" t="n">
        <v>44551</v>
      </c>
      <c r="E69" s="1" t="n">
        <v>46216</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s="2" t="inlineStr"/>
    </row>
    <row r="70" ht="15" customHeight="1">
      <c r="A70" t="inlineStr">
        <is>
          <t>A 53764-2021</t>
        </is>
      </c>
      <c r="B70" t="inlineStr">
        <is>
          <t>avverkningsanmälan</t>
        </is>
      </c>
      <c r="C70" t="inlineStr">
        <is>
          <t>Föryngringsavverkning</t>
        </is>
      </c>
      <c r="D70" s="1" t="n">
        <v>44469</v>
      </c>
      <c r="E70" s="1" t="n">
        <v>46216</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s="2" t="inlineStr"/>
    </row>
    <row r="71" ht="15" customHeight="1">
      <c r="A71" t="inlineStr">
        <is>
          <t>A 50414-2022</t>
        </is>
      </c>
      <c r="B71" t="inlineStr">
        <is>
          <t>avverkningsanmälan</t>
        </is>
      </c>
      <c r="C71" t="inlineStr">
        <is>
          <t>Föryngringsavverkning</t>
        </is>
      </c>
      <c r="D71" s="1" t="n">
        <v>44866</v>
      </c>
      <c r="E71" s="1" t="n">
        <v>46216</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s="2" t="inlineStr"/>
    </row>
    <row r="72" ht="15" customHeight="1">
      <c r="A72" t="inlineStr">
        <is>
          <t>A 73438-2021</t>
        </is>
      </c>
      <c r="B72" t="inlineStr">
        <is>
          <t>avverkningsanmälan</t>
        </is>
      </c>
      <c r="C72" t="inlineStr">
        <is>
          <t>Föryngringsavverkning</t>
        </is>
      </c>
      <c r="D72" s="1" t="n">
        <v>44551</v>
      </c>
      <c r="E72" s="1" t="n">
        <v>46216</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s="2" t="inlineStr"/>
    </row>
    <row r="73" ht="15" customHeight="1">
      <c r="A73" t="inlineStr">
        <is>
          <t>A 73443-2021</t>
        </is>
      </c>
      <c r="B73" t="inlineStr">
        <is>
          <t>avverkningsanmälan</t>
        </is>
      </c>
      <c r="C73" t="inlineStr">
        <is>
          <t>Föryngringsavverkning</t>
        </is>
      </c>
      <c r="D73" s="1" t="n">
        <v>44551</v>
      </c>
      <c r="E73" s="1" t="n">
        <v>46216</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s="2" t="inlineStr"/>
    </row>
    <row r="74" ht="15" customHeight="1">
      <c r="A74" t="inlineStr">
        <is>
          <t>A 73443-2021</t>
        </is>
      </c>
      <c r="B74" t="inlineStr">
        <is>
          <t>avverkningsanmälan</t>
        </is>
      </c>
      <c r="C74" t="inlineStr">
        <is>
          <t>Föryngringsavverkning</t>
        </is>
      </c>
      <c r="D74" s="1" t="n">
        <v>44551</v>
      </c>
      <c r="E74" s="1" t="n">
        <v>46216</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s="2" t="inlineStr"/>
    </row>
    <row r="75" ht="15" customHeight="1">
      <c r="A75" t="inlineStr">
        <is>
          <t>A 28338-2022</t>
        </is>
      </c>
      <c r="B75" t="inlineStr">
        <is>
          <t>avverkningsanmälan</t>
        </is>
      </c>
      <c r="C75" t="inlineStr">
        <is>
          <t>Föryngringsavverkning</t>
        </is>
      </c>
      <c r="D75" s="1" t="n">
        <v>44747</v>
      </c>
      <c r="E75" s="1" t="n">
        <v>46216</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s="2" t="inlineStr"/>
    </row>
    <row r="76" ht="15" customHeight="1">
      <c r="A76" t="inlineStr">
        <is>
          <t>A 41178-2021</t>
        </is>
      </c>
      <c r="B76" t="inlineStr">
        <is>
          <t>avverkningsanmälan</t>
        </is>
      </c>
      <c r="C76" t="inlineStr">
        <is>
          <t>Föryngringsavverkning</t>
        </is>
      </c>
      <c r="D76" s="1" t="n">
        <v>44421</v>
      </c>
      <c r="E76" s="1" t="n">
        <v>46216</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s="2" t="inlineStr"/>
    </row>
    <row r="77" ht="15" customHeight="1">
      <c r="A77" t="inlineStr">
        <is>
          <t>A 45594-2021</t>
        </is>
      </c>
      <c r="B77" t="inlineStr">
        <is>
          <t>avverkningsanmälan</t>
        </is>
      </c>
      <c r="C77" t="inlineStr">
        <is>
          <t>Föryngringsavverkning</t>
        </is>
      </c>
      <c r="D77" s="1" t="n">
        <v>44440</v>
      </c>
      <c r="E77" s="1" t="n">
        <v>46216</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s="2" t="inlineStr"/>
    </row>
    <row r="78" ht="15" customHeight="1">
      <c r="A78" t="inlineStr">
        <is>
          <t>A 60644-2021</t>
        </is>
      </c>
      <c r="B78" t="inlineStr">
        <is>
          <t>avverkningsanmälan</t>
        </is>
      </c>
      <c r="C78" t="inlineStr">
        <is>
          <t>Föryngringsavverkning</t>
        </is>
      </c>
      <c r="D78" s="1" t="n">
        <v>44496</v>
      </c>
      <c r="E78" s="1" t="n">
        <v>46216</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s="2" t="inlineStr"/>
    </row>
    <row r="79" ht="15" customHeight="1">
      <c r="A79" t="inlineStr">
        <is>
          <t>A 8321-2022</t>
        </is>
      </c>
      <c r="B79" t="inlineStr">
        <is>
          <t>avverkningsanmälan</t>
        </is>
      </c>
      <c r="C79" t="inlineStr">
        <is>
          <t>Föryngringsavverkning</t>
        </is>
      </c>
      <c r="D79" s="1" t="n">
        <v>44610</v>
      </c>
      <c r="E79" s="1" t="n">
        <v>46216</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s="2" t="inlineStr"/>
    </row>
    <row r="80" ht="15" customHeight="1">
      <c r="A80" t="inlineStr">
        <is>
          <t>A 49706-2021</t>
        </is>
      </c>
      <c r="B80" t="inlineStr">
        <is>
          <t>avverkningsanmälan</t>
        </is>
      </c>
      <c r="C80" t="inlineStr">
        <is>
          <t>Föryngringsavverkning</t>
        </is>
      </c>
      <c r="D80" s="1" t="n">
        <v>44455</v>
      </c>
      <c r="E80" s="1" t="n">
        <v>46216</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s="2" t="inlineStr"/>
    </row>
    <row r="81" ht="15" customHeight="1">
      <c r="A81" t="inlineStr">
        <is>
          <t>A 18492-2022</t>
        </is>
      </c>
      <c r="B81" t="inlineStr">
        <is>
          <t>avverkningsanmälan</t>
        </is>
      </c>
      <c r="C81" t="inlineStr">
        <is>
          <t>Avverkning för att bevara och utveckla /försöksver</t>
        </is>
      </c>
      <c r="D81" s="1" t="n">
        <v>44686</v>
      </c>
      <c r="E81" s="1" t="n">
        <v>46216</v>
      </c>
      <c r="F81" t="inlineStr">
        <is>
          <t>BLEKINGE LÄN</t>
        </is>
      </c>
      <c r="G81" t="inlineStr">
        <is>
          <t>OLOFSTRÖM</t>
        </is>
      </c>
      <c r="I81" t="n">
        <v>2</v>
      </c>
      <c r="J81" t="n">
        <v>0</v>
      </c>
      <c r="K81" t="n">
        <v>0</v>
      </c>
      <c r="L81" t="n">
        <v>0</v>
      </c>
      <c r="M81" t="n">
        <v>0</v>
      </c>
      <c r="N81" t="n">
        <v>0</v>
      </c>
      <c r="O81" t="n">
        <v>0</v>
      </c>
      <c r="P81" t="n">
        <v>0</v>
      </c>
      <c r="Q81" t="n">
        <v>0</v>
      </c>
      <c r="R81" t="n">
        <v>0</v>
      </c>
      <c r="S81" t="n">
        <v>0</v>
      </c>
      <c r="T81" t="n">
        <v>0</v>
      </c>
      <c r="U81" s="2" t="inlineStr"/>
    </row>
    <row r="82" ht="15" customHeight="1">
      <c r="A82" t="inlineStr">
        <is>
          <t>A 4735-2022</t>
        </is>
      </c>
      <c r="B82" t="inlineStr">
        <is>
          <t>avverkningsanmälan</t>
        </is>
      </c>
      <c r="C82" t="inlineStr">
        <is>
          <t>Föryngringsavverkning</t>
        </is>
      </c>
      <c r="D82" s="1" t="n">
        <v>44592</v>
      </c>
      <c r="E82" s="1" t="n">
        <v>46216</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s="2" t="inlineStr"/>
    </row>
    <row r="83" ht="15" customHeight="1">
      <c r="A83" t="inlineStr">
        <is>
          <t>A 11729-2022</t>
        </is>
      </c>
      <c r="B83" t="inlineStr">
        <is>
          <t>avverkningsanmälan</t>
        </is>
      </c>
      <c r="C83" t="inlineStr">
        <is>
          <t>Föryngringsavverkning</t>
        </is>
      </c>
      <c r="D83" s="1" t="n">
        <v>44634</v>
      </c>
      <c r="E83" s="1" t="n">
        <v>46216</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s="2" t="inlineStr"/>
    </row>
    <row r="84" ht="15" customHeight="1">
      <c r="A84" t="inlineStr">
        <is>
          <t>A 39871-2023</t>
        </is>
      </c>
      <c r="B84" t="inlineStr">
        <is>
          <t>avverkningsanmälan</t>
        </is>
      </c>
      <c r="C84" t="inlineStr">
        <is>
          <t>Föryngringsavverkning</t>
        </is>
      </c>
      <c r="D84" s="1" t="n">
        <v>45166</v>
      </c>
      <c r="E84" s="1" t="n">
        <v>46216</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s="2" t="inlineStr"/>
    </row>
    <row r="85" ht="15" customHeight="1">
      <c r="A85" t="inlineStr">
        <is>
          <t>A 49894-2024</t>
        </is>
      </c>
      <c r="B85" t="inlineStr">
        <is>
          <t>avverkningsanmälan</t>
        </is>
      </c>
      <c r="C85" t="inlineStr">
        <is>
          <t>Föryngringsavverkning</t>
        </is>
      </c>
      <c r="D85" s="1" t="n">
        <v>45597</v>
      </c>
      <c r="E85" s="1" t="n">
        <v>46216</v>
      </c>
      <c r="F85" t="inlineStr">
        <is>
          <t>BLEKINGE LÄN</t>
        </is>
      </c>
      <c r="G85" t="inlineStr">
        <is>
          <t>OLOFSTRÖM</t>
        </is>
      </c>
      <c r="I85" t="n">
        <v>17.5</v>
      </c>
      <c r="J85" t="n">
        <v>0</v>
      </c>
      <c r="K85" t="n">
        <v>0</v>
      </c>
      <c r="L85" t="n">
        <v>0</v>
      </c>
      <c r="M85" t="n">
        <v>0</v>
      </c>
      <c r="N85" t="n">
        <v>0</v>
      </c>
      <c r="O85" t="n">
        <v>0</v>
      </c>
      <c r="P85" t="n">
        <v>0</v>
      </c>
      <c r="Q85" t="n">
        <v>0</v>
      </c>
      <c r="R85" t="n">
        <v>0</v>
      </c>
      <c r="S85" t="n">
        <v>0</v>
      </c>
      <c r="T85" t="n">
        <v>0</v>
      </c>
      <c r="U85" s="2" t="inlineStr"/>
    </row>
    <row r="86" ht="15" customHeight="1">
      <c r="A86" t="inlineStr">
        <is>
          <t>A 41640-2024</t>
        </is>
      </c>
      <c r="B86" t="inlineStr">
        <is>
          <t>avverkningsanmälan</t>
        </is>
      </c>
      <c r="C86" t="inlineStr">
        <is>
          <t>Föryngringsavverkning</t>
        </is>
      </c>
      <c r="D86" s="1" t="n">
        <v>45560</v>
      </c>
      <c r="E86" s="1" t="n">
        <v>46216</v>
      </c>
      <c r="F86" t="inlineStr">
        <is>
          <t>BLEKINGE LÄN</t>
        </is>
      </c>
      <c r="G86" t="inlineStr">
        <is>
          <t>OLOFSTRÖM</t>
        </is>
      </c>
      <c r="I86" t="n">
        <v>1.2</v>
      </c>
      <c r="J86" t="n">
        <v>0</v>
      </c>
      <c r="K86" t="n">
        <v>0</v>
      </c>
      <c r="L86" t="n">
        <v>0</v>
      </c>
      <c r="M86" t="n">
        <v>0</v>
      </c>
      <c r="N86" t="n">
        <v>0</v>
      </c>
      <c r="O86" t="n">
        <v>0</v>
      </c>
      <c r="P86" t="n">
        <v>0</v>
      </c>
      <c r="Q86" t="n">
        <v>0</v>
      </c>
      <c r="R86" t="n">
        <v>0</v>
      </c>
      <c r="S86" t="n">
        <v>0</v>
      </c>
      <c r="T86" t="n">
        <v>0</v>
      </c>
      <c r="U86" s="2" t="inlineStr"/>
    </row>
    <row r="87" ht="15" customHeight="1">
      <c r="A87" t="inlineStr">
        <is>
          <t>A 38439-2023</t>
        </is>
      </c>
      <c r="B87" t="inlineStr">
        <is>
          <t>avverkningsanmälan</t>
        </is>
      </c>
      <c r="C87" t="inlineStr">
        <is>
          <t>Föryngringsavverkning</t>
        </is>
      </c>
      <c r="D87" s="1" t="n">
        <v>45162</v>
      </c>
      <c r="E87" s="1" t="n">
        <v>46216</v>
      </c>
      <c r="F87" t="inlineStr">
        <is>
          <t>BLEKINGE LÄN</t>
        </is>
      </c>
      <c r="G87" t="inlineStr">
        <is>
          <t>OLOFSTRÖM</t>
        </is>
      </c>
      <c r="I87" t="n">
        <v>0.4</v>
      </c>
      <c r="J87" t="n">
        <v>0</v>
      </c>
      <c r="K87" t="n">
        <v>0</v>
      </c>
      <c r="L87" t="n">
        <v>0</v>
      </c>
      <c r="M87" t="n">
        <v>0</v>
      </c>
      <c r="N87" t="n">
        <v>0</v>
      </c>
      <c r="O87" t="n">
        <v>0</v>
      </c>
      <c r="P87" t="n">
        <v>0</v>
      </c>
      <c r="Q87" t="n">
        <v>0</v>
      </c>
      <c r="R87" t="n">
        <v>0</v>
      </c>
      <c r="S87" t="n">
        <v>0</v>
      </c>
      <c r="T87" t="n">
        <v>0</v>
      </c>
      <c r="U87" s="2" t="inlineStr"/>
    </row>
    <row r="88" ht="15" customHeight="1">
      <c r="A88" t="inlineStr">
        <is>
          <t>A 40284-2023</t>
        </is>
      </c>
      <c r="B88" t="inlineStr">
        <is>
          <t>avverkningsanmälan</t>
        </is>
      </c>
      <c r="C88" t="inlineStr">
        <is>
          <t>Föryngringsavverkning</t>
        </is>
      </c>
      <c r="D88" s="1" t="n">
        <v>45169</v>
      </c>
      <c r="E88" s="1" t="n">
        <v>46216</v>
      </c>
      <c r="F88" t="inlineStr">
        <is>
          <t>BLEKINGE LÄN</t>
        </is>
      </c>
      <c r="G88" t="inlineStr">
        <is>
          <t>OLOFSTRÖM</t>
        </is>
      </c>
      <c r="I88" t="n">
        <v>5.2</v>
      </c>
      <c r="J88" t="n">
        <v>0</v>
      </c>
      <c r="K88" t="n">
        <v>0</v>
      </c>
      <c r="L88" t="n">
        <v>0</v>
      </c>
      <c r="M88" t="n">
        <v>0</v>
      </c>
      <c r="N88" t="n">
        <v>0</v>
      </c>
      <c r="O88" t="n">
        <v>0</v>
      </c>
      <c r="P88" t="n">
        <v>0</v>
      </c>
      <c r="Q88" t="n">
        <v>0</v>
      </c>
      <c r="R88" t="n">
        <v>0</v>
      </c>
      <c r="S88" t="n">
        <v>0</v>
      </c>
      <c r="T88" t="n">
        <v>0</v>
      </c>
      <c r="U88" s="2" t="inlineStr"/>
    </row>
    <row r="89" ht="15" customHeight="1">
      <c r="A89" t="inlineStr">
        <is>
          <t>A 3203-2022</t>
        </is>
      </c>
      <c r="B89" t="inlineStr">
        <is>
          <t>avverkningsanmälan</t>
        </is>
      </c>
      <c r="C89" t="inlineStr">
        <is>
          <t>Föryngringsavverkning</t>
        </is>
      </c>
      <c r="D89" s="1" t="n">
        <v>44582</v>
      </c>
      <c r="E89" s="1" t="n">
        <v>46216</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s="2" t="inlineStr"/>
    </row>
    <row r="90" ht="15" customHeight="1">
      <c r="A90" t="inlineStr">
        <is>
          <t>A 62919-2023</t>
        </is>
      </c>
      <c r="B90" t="inlineStr">
        <is>
          <t>avverkningsanmälan</t>
        </is>
      </c>
      <c r="C90" t="inlineStr">
        <is>
          <t>Föryngringsavverkning</t>
        </is>
      </c>
      <c r="D90" s="1" t="n">
        <v>45271</v>
      </c>
      <c r="E90" s="1" t="n">
        <v>46216</v>
      </c>
      <c r="F90" t="inlineStr">
        <is>
          <t>BLEKINGE LÄN</t>
        </is>
      </c>
      <c r="G90" t="inlineStr">
        <is>
          <t>OLOFSTRÖM</t>
        </is>
      </c>
      <c r="I90" t="n">
        <v>5.8</v>
      </c>
      <c r="J90" t="n">
        <v>0</v>
      </c>
      <c r="K90" t="n">
        <v>0</v>
      </c>
      <c r="L90" t="n">
        <v>0</v>
      </c>
      <c r="M90" t="n">
        <v>0</v>
      </c>
      <c r="N90" t="n">
        <v>0</v>
      </c>
      <c r="O90" t="n">
        <v>0</v>
      </c>
      <c r="P90" t="n">
        <v>0</v>
      </c>
      <c r="Q90" t="n">
        <v>0</v>
      </c>
      <c r="R90" t="n">
        <v>0</v>
      </c>
      <c r="S90" t="n">
        <v>0</v>
      </c>
      <c r="T90" t="n">
        <v>0</v>
      </c>
      <c r="U90" s="2" t="inlineStr"/>
    </row>
    <row r="91" ht="15" customHeight="1">
      <c r="A91" t="inlineStr">
        <is>
          <t>A 32899-2024</t>
        </is>
      </c>
      <c r="B91" t="inlineStr">
        <is>
          <t>avverkningsanmälan</t>
        </is>
      </c>
      <c r="C91" t="inlineStr">
        <is>
          <t>Föryngringsavverkning</t>
        </is>
      </c>
      <c r="D91" s="1" t="n">
        <v>45516</v>
      </c>
      <c r="E91" s="1" t="n">
        <v>46216</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s="2" t="inlineStr"/>
    </row>
    <row r="92" ht="15" customHeight="1">
      <c r="A92" t="inlineStr">
        <is>
          <t>A 6676-2025</t>
        </is>
      </c>
      <c r="B92" t="inlineStr">
        <is>
          <t>avverkningsanmälan</t>
        </is>
      </c>
      <c r="C92" t="inlineStr">
        <is>
          <t>Föryngringsavverkning</t>
        </is>
      </c>
      <c r="D92" s="1" t="n">
        <v>45700</v>
      </c>
      <c r="E92" s="1" t="n">
        <v>46216</v>
      </c>
      <c r="F92" t="inlineStr">
        <is>
          <t>BLEKINGE LÄN</t>
        </is>
      </c>
      <c r="G92" t="inlineStr">
        <is>
          <t>OLOFSTRÖM</t>
        </is>
      </c>
      <c r="I92" t="n">
        <v>3.8</v>
      </c>
      <c r="J92" t="n">
        <v>0</v>
      </c>
      <c r="K92" t="n">
        <v>0</v>
      </c>
      <c r="L92" t="n">
        <v>0</v>
      </c>
      <c r="M92" t="n">
        <v>0</v>
      </c>
      <c r="N92" t="n">
        <v>0</v>
      </c>
      <c r="O92" t="n">
        <v>0</v>
      </c>
      <c r="P92" t="n">
        <v>0</v>
      </c>
      <c r="Q92" t="n">
        <v>0</v>
      </c>
      <c r="R92" t="n">
        <v>0</v>
      </c>
      <c r="S92" t="n">
        <v>0</v>
      </c>
      <c r="T92" t="n">
        <v>0</v>
      </c>
      <c r="U92" s="2" t="inlineStr"/>
    </row>
    <row r="93" ht="15" customHeight="1">
      <c r="A93" t="inlineStr">
        <is>
          <t>A 39108-2024</t>
        </is>
      </c>
      <c r="B93" t="inlineStr">
        <is>
          <t>avverkningsanmälan</t>
        </is>
      </c>
      <c r="C93" t="inlineStr">
        <is>
          <t>Föryngringsavverkning</t>
        </is>
      </c>
      <c r="D93" s="1" t="n">
        <v>45548</v>
      </c>
      <c r="E93" s="1" t="n">
        <v>46216</v>
      </c>
      <c r="F93" t="inlineStr">
        <is>
          <t>BLEKINGE LÄN</t>
        </is>
      </c>
      <c r="G93" t="inlineStr">
        <is>
          <t>OLOFSTRÖM</t>
        </is>
      </c>
      <c r="I93" t="n">
        <v>5.5</v>
      </c>
      <c r="J93" t="n">
        <v>0</v>
      </c>
      <c r="K93" t="n">
        <v>0</v>
      </c>
      <c r="L93" t="n">
        <v>0</v>
      </c>
      <c r="M93" t="n">
        <v>0</v>
      </c>
      <c r="N93" t="n">
        <v>0</v>
      </c>
      <c r="O93" t="n">
        <v>0</v>
      </c>
      <c r="P93" t="n">
        <v>0</v>
      </c>
      <c r="Q93" t="n">
        <v>0</v>
      </c>
      <c r="R93" t="n">
        <v>0</v>
      </c>
      <c r="S93" t="n">
        <v>0</v>
      </c>
      <c r="T93" t="n">
        <v>0</v>
      </c>
      <c r="U93" s="2" t="inlineStr"/>
    </row>
    <row r="94" ht="15" customHeight="1">
      <c r="A94" t="inlineStr">
        <is>
          <t>A 13195-2023</t>
        </is>
      </c>
      <c r="B94" t="inlineStr">
        <is>
          <t>avverkningsanmälan</t>
        </is>
      </c>
      <c r="C94" t="inlineStr">
        <is>
          <t>Föryngringsavverkning</t>
        </is>
      </c>
      <c r="D94" s="1" t="n">
        <v>45002</v>
      </c>
      <c r="E94" s="1" t="n">
        <v>46216</v>
      </c>
      <c r="F94" t="inlineStr">
        <is>
          <t>BLEKINGE LÄN</t>
        </is>
      </c>
      <c r="G94" t="inlineStr">
        <is>
          <t>OLOFSTRÖM</t>
        </is>
      </c>
      <c r="I94" t="n">
        <v>4.1</v>
      </c>
      <c r="J94" t="n">
        <v>0</v>
      </c>
      <c r="K94" t="n">
        <v>0</v>
      </c>
      <c r="L94" t="n">
        <v>0</v>
      </c>
      <c r="M94" t="n">
        <v>0</v>
      </c>
      <c r="N94" t="n">
        <v>0</v>
      </c>
      <c r="O94" t="n">
        <v>0</v>
      </c>
      <c r="P94" t="n">
        <v>0</v>
      </c>
      <c r="Q94" t="n">
        <v>0</v>
      </c>
      <c r="R94" t="n">
        <v>0</v>
      </c>
      <c r="S94" t="n">
        <v>0</v>
      </c>
      <c r="T94" t="n">
        <v>0</v>
      </c>
      <c r="U94" s="2" t="inlineStr"/>
    </row>
    <row r="95" ht="15" customHeight="1">
      <c r="A95" t="inlineStr">
        <is>
          <t>A 2885-2022</t>
        </is>
      </c>
      <c r="B95" t="inlineStr">
        <is>
          <t>avverkningsanmälan</t>
        </is>
      </c>
      <c r="C95" t="inlineStr">
        <is>
          <t>Föryngringsavverkning</t>
        </is>
      </c>
      <c r="D95" s="1" t="n">
        <v>44581</v>
      </c>
      <c r="E95" s="1" t="n">
        <v>46216</v>
      </c>
      <c r="F95" t="inlineStr">
        <is>
          <t>BLEKINGE LÄN</t>
        </is>
      </c>
      <c r="G95" t="inlineStr">
        <is>
          <t>OLOFSTRÖM</t>
        </is>
      </c>
      <c r="I95" t="n">
        <v>1.3</v>
      </c>
      <c r="J95" t="n">
        <v>0</v>
      </c>
      <c r="K95" t="n">
        <v>0</v>
      </c>
      <c r="L95" t="n">
        <v>0</v>
      </c>
      <c r="M95" t="n">
        <v>0</v>
      </c>
      <c r="N95" t="n">
        <v>0</v>
      </c>
      <c r="O95" t="n">
        <v>0</v>
      </c>
      <c r="P95" t="n">
        <v>0</v>
      </c>
      <c r="Q95" t="n">
        <v>0</v>
      </c>
      <c r="R95" t="n">
        <v>0</v>
      </c>
      <c r="S95" t="n">
        <v>0</v>
      </c>
      <c r="T95" t="n">
        <v>0</v>
      </c>
      <c r="U95" s="2" t="inlineStr"/>
    </row>
    <row r="96" ht="15" customHeight="1">
      <c r="A96" t="inlineStr">
        <is>
          <t>A 42300-2023</t>
        </is>
      </c>
      <c r="B96" t="inlineStr">
        <is>
          <t>avverkningsanmälan</t>
        </is>
      </c>
      <c r="C96" t="inlineStr">
        <is>
          <t>Föryngringsavverkning</t>
        </is>
      </c>
      <c r="D96" s="1" t="n">
        <v>45180</v>
      </c>
      <c r="E96" s="1" t="n">
        <v>46216</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s="2" t="inlineStr"/>
    </row>
    <row r="97" ht="15" customHeight="1">
      <c r="A97" t="inlineStr">
        <is>
          <t>A 57675-2023</t>
        </is>
      </c>
      <c r="B97" t="inlineStr">
        <is>
          <t>avverkningsanmälan</t>
        </is>
      </c>
      <c r="C97" t="inlineStr">
        <is>
          <t>Föryngringsavverkning</t>
        </is>
      </c>
      <c r="D97" s="1" t="n">
        <v>45246</v>
      </c>
      <c r="E97" s="1" t="n">
        <v>46216</v>
      </c>
      <c r="F97" t="inlineStr">
        <is>
          <t>BLEKINGE LÄN</t>
        </is>
      </c>
      <c r="G97" t="inlineStr">
        <is>
          <t>OLOFSTRÖM</t>
        </is>
      </c>
      <c r="I97" t="n">
        <v>3.5</v>
      </c>
      <c r="J97" t="n">
        <v>0</v>
      </c>
      <c r="K97" t="n">
        <v>0</v>
      </c>
      <c r="L97" t="n">
        <v>0</v>
      </c>
      <c r="M97" t="n">
        <v>0</v>
      </c>
      <c r="N97" t="n">
        <v>0</v>
      </c>
      <c r="O97" t="n">
        <v>0</v>
      </c>
      <c r="P97" t="n">
        <v>0</v>
      </c>
      <c r="Q97" t="n">
        <v>0</v>
      </c>
      <c r="R97" t="n">
        <v>0</v>
      </c>
      <c r="S97" t="n">
        <v>0</v>
      </c>
      <c r="T97" t="n">
        <v>0</v>
      </c>
      <c r="U97" s="2" t="inlineStr"/>
    </row>
    <row r="98" ht="15" customHeight="1">
      <c r="A98" t="inlineStr">
        <is>
          <t>A 39775-2024</t>
        </is>
      </c>
      <c r="B98" t="inlineStr">
        <is>
          <t>avverkningsanmälan</t>
        </is>
      </c>
      <c r="C98" t="inlineStr">
        <is>
          <t>Avverkning för annat ändamål</t>
        </is>
      </c>
      <c r="D98" s="1" t="n">
        <v>45552</v>
      </c>
      <c r="E98" s="1" t="n">
        <v>46216</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s="2" t="inlineStr"/>
    </row>
    <row r="99" ht="15" customHeight="1">
      <c r="A99" t="inlineStr">
        <is>
          <t>A 61123-2024</t>
        </is>
      </c>
      <c r="B99" t="inlineStr">
        <is>
          <t>avverkningsanmälan</t>
        </is>
      </c>
      <c r="C99" t="inlineStr">
        <is>
          <t>Föryngringsavverkning</t>
        </is>
      </c>
      <c r="D99" s="1" t="n">
        <v>45645</v>
      </c>
      <c r="E99" s="1" t="n">
        <v>46216</v>
      </c>
      <c r="F99" t="inlineStr">
        <is>
          <t>BLEKINGE LÄN</t>
        </is>
      </c>
      <c r="G99" t="inlineStr">
        <is>
          <t>OLOFSTRÖM</t>
        </is>
      </c>
      <c r="I99" t="n">
        <v>0.9</v>
      </c>
      <c r="J99" t="n">
        <v>0</v>
      </c>
      <c r="K99" t="n">
        <v>0</v>
      </c>
      <c r="L99" t="n">
        <v>0</v>
      </c>
      <c r="M99" t="n">
        <v>0</v>
      </c>
      <c r="N99" t="n">
        <v>0</v>
      </c>
      <c r="O99" t="n">
        <v>0</v>
      </c>
      <c r="P99" t="n">
        <v>0</v>
      </c>
      <c r="Q99" t="n">
        <v>0</v>
      </c>
      <c r="R99" t="n">
        <v>0</v>
      </c>
      <c r="S99" t="n">
        <v>0</v>
      </c>
      <c r="T99" t="n">
        <v>0</v>
      </c>
      <c r="U99" s="2" t="inlineStr"/>
    </row>
    <row r="100" ht="15" customHeight="1">
      <c r="A100" t="inlineStr">
        <is>
          <t>A 15348-2025</t>
        </is>
      </c>
      <c r="B100" t="inlineStr">
        <is>
          <t>avverkningsanmälan</t>
        </is>
      </c>
      <c r="C100" t="inlineStr">
        <is>
          <t>Föryngringsavverkning</t>
        </is>
      </c>
      <c r="D100" s="1" t="n">
        <v>45747</v>
      </c>
      <c r="E100" s="1" t="n">
        <v>46216</v>
      </c>
      <c r="F100" t="inlineStr">
        <is>
          <t>BLEKINGE LÄN</t>
        </is>
      </c>
      <c r="G100" t="inlineStr">
        <is>
          <t>OLOFSTRÖM</t>
        </is>
      </c>
      <c r="I100" t="n">
        <v>7.9</v>
      </c>
      <c r="J100" t="n">
        <v>0</v>
      </c>
      <c r="K100" t="n">
        <v>0</v>
      </c>
      <c r="L100" t="n">
        <v>0</v>
      </c>
      <c r="M100" t="n">
        <v>0</v>
      </c>
      <c r="N100" t="n">
        <v>0</v>
      </c>
      <c r="O100" t="n">
        <v>0</v>
      </c>
      <c r="P100" t="n">
        <v>0</v>
      </c>
      <c r="Q100" t="n">
        <v>0</v>
      </c>
      <c r="R100" t="n">
        <v>0</v>
      </c>
      <c r="S100" t="n">
        <v>0</v>
      </c>
      <c r="T100" t="n">
        <v>0</v>
      </c>
      <c r="U100" s="2" t="inlineStr"/>
    </row>
    <row r="101" ht="15" customHeight="1">
      <c r="A101" t="inlineStr">
        <is>
          <t>A 15354-2025</t>
        </is>
      </c>
      <c r="B101" t="inlineStr">
        <is>
          <t>avverkningsanmälan</t>
        </is>
      </c>
      <c r="C101" t="inlineStr">
        <is>
          <t>Föryngringsavverkning</t>
        </is>
      </c>
      <c r="D101" s="1" t="n">
        <v>45747</v>
      </c>
      <c r="E101" s="1" t="n">
        <v>46216</v>
      </c>
      <c r="F101" t="inlineStr">
        <is>
          <t>BLEKINGE LÄN</t>
        </is>
      </c>
      <c r="G101" t="inlineStr">
        <is>
          <t>OLOFSTRÖM</t>
        </is>
      </c>
      <c r="I101" t="n">
        <v>4.4</v>
      </c>
      <c r="J101" t="n">
        <v>0</v>
      </c>
      <c r="K101" t="n">
        <v>0</v>
      </c>
      <c r="L101" t="n">
        <v>0</v>
      </c>
      <c r="M101" t="n">
        <v>0</v>
      </c>
      <c r="N101" t="n">
        <v>0</v>
      </c>
      <c r="O101" t="n">
        <v>0</v>
      </c>
      <c r="P101" t="n">
        <v>0</v>
      </c>
      <c r="Q101" t="n">
        <v>0</v>
      </c>
      <c r="R101" t="n">
        <v>0</v>
      </c>
      <c r="S101" t="n">
        <v>0</v>
      </c>
      <c r="T101" t="n">
        <v>0</v>
      </c>
      <c r="U101" s="2" t="inlineStr"/>
    </row>
    <row r="102" ht="15" customHeight="1">
      <c r="A102" t="inlineStr">
        <is>
          <t>A 5551-2025</t>
        </is>
      </c>
      <c r="B102" t="inlineStr">
        <is>
          <t>avverkningsanmälan</t>
        </is>
      </c>
      <c r="C102" t="inlineStr">
        <is>
          <t>Föryngringsavverkning</t>
        </is>
      </c>
      <c r="D102" s="1" t="n">
        <v>45693</v>
      </c>
      <c r="E102" s="1" t="n">
        <v>46216</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s="2" t="inlineStr"/>
    </row>
    <row r="103" ht="15" customHeight="1">
      <c r="A103" t="inlineStr">
        <is>
          <t>A 54513-2021</t>
        </is>
      </c>
      <c r="B103" t="inlineStr">
        <is>
          <t>avverkningsanmälan</t>
        </is>
      </c>
      <c r="C103" t="inlineStr">
        <is>
          <t>Föryngringsavverkning</t>
        </is>
      </c>
      <c r="D103" s="1" t="n">
        <v>44473</v>
      </c>
      <c r="E103" s="1" t="n">
        <v>46216</v>
      </c>
      <c r="F103" t="inlineStr">
        <is>
          <t>BLEKINGE LÄN</t>
        </is>
      </c>
      <c r="G103" t="inlineStr">
        <is>
          <t>OLOFSTRÖM</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49298-2022</t>
        </is>
      </c>
      <c r="B104" t="inlineStr">
        <is>
          <t>avverkningsanmälan</t>
        </is>
      </c>
      <c r="C104" t="inlineStr">
        <is>
          <t>Föryngringsavverkning</t>
        </is>
      </c>
      <c r="D104" s="1" t="n">
        <v>44858</v>
      </c>
      <c r="E104" s="1" t="n">
        <v>46216</v>
      </c>
      <c r="F104" t="inlineStr">
        <is>
          <t>BLEKINGE LÄN</t>
        </is>
      </c>
      <c r="G104" t="inlineStr">
        <is>
          <t>OLOFSTRÖM</t>
        </is>
      </c>
      <c r="I104" t="n">
        <v>9.6</v>
      </c>
      <c r="J104" t="n">
        <v>0</v>
      </c>
      <c r="K104" t="n">
        <v>0</v>
      </c>
      <c r="L104" t="n">
        <v>0</v>
      </c>
      <c r="M104" t="n">
        <v>0</v>
      </c>
      <c r="N104" t="n">
        <v>0</v>
      </c>
      <c r="O104" t="n">
        <v>0</v>
      </c>
      <c r="P104" t="n">
        <v>0</v>
      </c>
      <c r="Q104" t="n">
        <v>0</v>
      </c>
      <c r="R104" t="n">
        <v>0</v>
      </c>
      <c r="S104" t="n">
        <v>0</v>
      </c>
      <c r="T104" t="n">
        <v>0</v>
      </c>
      <c r="U104" s="2" t="inlineStr"/>
    </row>
    <row r="105" ht="15" customHeight="1">
      <c r="A105" t="inlineStr">
        <is>
          <t>A 52208-2024</t>
        </is>
      </c>
      <c r="B105" t="inlineStr">
        <is>
          <t>avverkningsanmälan</t>
        </is>
      </c>
      <c r="C105" t="inlineStr">
        <is>
          <t>Föryngringsavverkning</t>
        </is>
      </c>
      <c r="D105" s="1" t="n">
        <v>45608</v>
      </c>
      <c r="E105" s="1" t="n">
        <v>46216</v>
      </c>
      <c r="F105" t="inlineStr">
        <is>
          <t>BLEKINGE LÄN</t>
        </is>
      </c>
      <c r="G105" t="inlineStr">
        <is>
          <t>OLOFSTRÖM</t>
        </is>
      </c>
      <c r="I105" t="n">
        <v>7.4</v>
      </c>
      <c r="J105" t="n">
        <v>0</v>
      </c>
      <c r="K105" t="n">
        <v>0</v>
      </c>
      <c r="L105" t="n">
        <v>0</v>
      </c>
      <c r="M105" t="n">
        <v>0</v>
      </c>
      <c r="N105" t="n">
        <v>0</v>
      </c>
      <c r="O105" t="n">
        <v>0</v>
      </c>
      <c r="P105" t="n">
        <v>0</v>
      </c>
      <c r="Q105" t="n">
        <v>0</v>
      </c>
      <c r="R105" t="n">
        <v>0</v>
      </c>
      <c r="S105" t="n">
        <v>0</v>
      </c>
      <c r="T105" t="n">
        <v>0</v>
      </c>
      <c r="U105" s="2" t="inlineStr"/>
    </row>
    <row r="106" ht="15" customHeight="1">
      <c r="A106" t="inlineStr">
        <is>
          <t>A 43287-2023</t>
        </is>
      </c>
      <c r="B106" t="inlineStr">
        <is>
          <t>avverkningsanmälan</t>
        </is>
      </c>
      <c r="C106" t="inlineStr">
        <is>
          <t>Föryngringsavverkning</t>
        </is>
      </c>
      <c r="D106" s="1" t="n">
        <v>45183</v>
      </c>
      <c r="E106" s="1" t="n">
        <v>46216</v>
      </c>
      <c r="F106" t="inlineStr">
        <is>
          <t>BLEKINGE LÄN</t>
        </is>
      </c>
      <c r="G106" t="inlineStr">
        <is>
          <t>OLOFSTRÖM</t>
        </is>
      </c>
      <c r="I106" t="n">
        <v>5.6</v>
      </c>
      <c r="J106" t="n">
        <v>0</v>
      </c>
      <c r="K106" t="n">
        <v>0</v>
      </c>
      <c r="L106" t="n">
        <v>0</v>
      </c>
      <c r="M106" t="n">
        <v>0</v>
      </c>
      <c r="N106" t="n">
        <v>0</v>
      </c>
      <c r="O106" t="n">
        <v>0</v>
      </c>
      <c r="P106" t="n">
        <v>0</v>
      </c>
      <c r="Q106" t="n">
        <v>0</v>
      </c>
      <c r="R106" t="n">
        <v>0</v>
      </c>
      <c r="S106" t="n">
        <v>0</v>
      </c>
      <c r="T106" t="n">
        <v>0</v>
      </c>
      <c r="U106" s="2" t="inlineStr"/>
    </row>
    <row r="107" ht="15" customHeight="1">
      <c r="A107" t="inlineStr">
        <is>
          <t>A 39880-2023</t>
        </is>
      </c>
      <c r="B107" t="inlineStr">
        <is>
          <t>avverkningsanmälan</t>
        </is>
      </c>
      <c r="C107" t="inlineStr">
        <is>
          <t>Föryngringsavverkning</t>
        </is>
      </c>
      <c r="D107" s="1" t="n">
        <v>45168</v>
      </c>
      <c r="E107" s="1" t="n">
        <v>46216</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22717-2023</t>
        </is>
      </c>
      <c r="B108" t="inlineStr">
        <is>
          <t>avverkningsanmälan</t>
        </is>
      </c>
      <c r="C108" t="inlineStr">
        <is>
          <t>Föryngringsavverkning</t>
        </is>
      </c>
      <c r="D108" s="1" t="n">
        <v>45071</v>
      </c>
      <c r="E108" s="1" t="n">
        <v>46216</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40749-2021</t>
        </is>
      </c>
      <c r="B109" t="inlineStr">
        <is>
          <t>avverkningsanmälan</t>
        </is>
      </c>
      <c r="C109" t="inlineStr">
        <is>
          <t>Föryngringsavverkning</t>
        </is>
      </c>
      <c r="D109" s="1" t="n">
        <v>44420</v>
      </c>
      <c r="E109" s="1" t="n">
        <v>46216</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12796-2025</t>
        </is>
      </c>
      <c r="B110" t="inlineStr">
        <is>
          <t>avverkningsanmälan</t>
        </is>
      </c>
      <c r="C110" t="inlineStr">
        <is>
          <t>Föryngringsavverkning</t>
        </is>
      </c>
      <c r="D110" s="1" t="n">
        <v>45733</v>
      </c>
      <c r="E110" s="1" t="n">
        <v>46216</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69510-2021</t>
        </is>
      </c>
      <c r="B111" t="inlineStr">
        <is>
          <t>avverkningsanmälan</t>
        </is>
      </c>
      <c r="C111" t="inlineStr">
        <is>
          <t>Föryngringsavverkning</t>
        </is>
      </c>
      <c r="D111" s="1" t="n">
        <v>44531</v>
      </c>
      <c r="E111" s="1" t="n">
        <v>46216</v>
      </c>
      <c r="F111" t="inlineStr">
        <is>
          <t>BLEKINGE LÄN</t>
        </is>
      </c>
      <c r="G111" t="inlineStr">
        <is>
          <t>OLOFSTRÖM</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6253-2025</t>
        </is>
      </c>
      <c r="B112" t="inlineStr">
        <is>
          <t>avverkningsanmälan</t>
        </is>
      </c>
      <c r="C112" t="inlineStr">
        <is>
          <t>Föryngringsavverkning</t>
        </is>
      </c>
      <c r="D112" s="1" t="n">
        <v>45698</v>
      </c>
      <c r="E112" s="1" t="n">
        <v>46216</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242-2026</t>
        </is>
      </c>
      <c r="B113" t="inlineStr">
        <is>
          <t>avverkningsanmälan</t>
        </is>
      </c>
      <c r="C113" t="inlineStr">
        <is>
          <t>Föryngringsavverkning</t>
        </is>
      </c>
      <c r="D113" s="1" t="n">
        <v>46027</v>
      </c>
      <c r="E113" s="1" t="n">
        <v>46216</v>
      </c>
      <c r="F113" t="inlineStr">
        <is>
          <t>BLEKINGE LÄN</t>
        </is>
      </c>
      <c r="G113" t="inlineStr">
        <is>
          <t>OLOFSTRÖM</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25741-2025</t>
        </is>
      </c>
      <c r="B114" t="inlineStr">
        <is>
          <t>avverkningsanmälan</t>
        </is>
      </c>
      <c r="C114" t="inlineStr">
        <is>
          <t>Föryngringsavverkning</t>
        </is>
      </c>
      <c r="D114" s="1" t="n">
        <v>45803</v>
      </c>
      <c r="E114" s="1" t="n">
        <v>46216</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25682-2025</t>
        </is>
      </c>
      <c r="B115" t="inlineStr">
        <is>
          <t>avverkningsanmälan</t>
        </is>
      </c>
      <c r="C115" t="inlineStr">
        <is>
          <t>Föryngringsavverkning</t>
        </is>
      </c>
      <c r="D115" s="1" t="n">
        <v>45803</v>
      </c>
      <c r="E115" s="1" t="n">
        <v>46216</v>
      </c>
      <c r="F115" t="inlineStr">
        <is>
          <t>BLEKINGE LÄN</t>
        </is>
      </c>
      <c r="G115" t="inlineStr">
        <is>
          <t>OLOFSTRÖM</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19710-2024</t>
        </is>
      </c>
      <c r="B116" t="inlineStr">
        <is>
          <t>avverkningsanmälan</t>
        </is>
      </c>
      <c r="C116" t="inlineStr">
        <is>
          <t>Föryngringsavverkning</t>
        </is>
      </c>
      <c r="D116" s="1" t="n">
        <v>45432</v>
      </c>
      <c r="E116" s="1" t="n">
        <v>46216</v>
      </c>
      <c r="F116" t="inlineStr">
        <is>
          <t>BLEKINGE LÄN</t>
        </is>
      </c>
      <c r="G116" t="inlineStr">
        <is>
          <t>OLOFSTRÖM</t>
        </is>
      </c>
      <c r="H116" t="inlineStr">
        <is>
          <t>Kommuner</t>
        </is>
      </c>
      <c r="I116" t="n">
        <v>3.4</v>
      </c>
      <c r="J116" t="n">
        <v>0</v>
      </c>
      <c r="K116" t="n">
        <v>0</v>
      </c>
      <c r="L116" t="n">
        <v>0</v>
      </c>
      <c r="M116" t="n">
        <v>0</v>
      </c>
      <c r="N116" t="n">
        <v>0</v>
      </c>
      <c r="O116" t="n">
        <v>0</v>
      </c>
      <c r="P116" t="n">
        <v>0</v>
      </c>
      <c r="Q116" t="n">
        <v>0</v>
      </c>
      <c r="R116" t="n">
        <v>0</v>
      </c>
      <c r="S116" t="n">
        <v>0</v>
      </c>
      <c r="T116" t="n">
        <v>0</v>
      </c>
      <c r="U116" s="2" t="inlineStr"/>
    </row>
    <row r="117" ht="15" customHeight="1">
      <c r="A117" t="inlineStr">
        <is>
          <t>A 1356-2026</t>
        </is>
      </c>
      <c r="B117" t="inlineStr">
        <is>
          <t>avverkningsanmälan</t>
        </is>
      </c>
      <c r="C117" t="inlineStr">
        <is>
          <t>Föryngringsavverkning</t>
        </is>
      </c>
      <c r="D117" s="1" t="n">
        <v>46031</v>
      </c>
      <c r="E117" s="1" t="n">
        <v>46216</v>
      </c>
      <c r="F117" t="inlineStr">
        <is>
          <t>BLEKINGE LÄN</t>
        </is>
      </c>
      <c r="G117" t="inlineStr">
        <is>
          <t>OLOFSTRÖM</t>
        </is>
      </c>
      <c r="I117" t="n">
        <v>1.6</v>
      </c>
      <c r="J117" t="n">
        <v>0</v>
      </c>
      <c r="K117" t="n">
        <v>0</v>
      </c>
      <c r="L117" t="n">
        <v>0</v>
      </c>
      <c r="M117" t="n">
        <v>0</v>
      </c>
      <c r="N117" t="n">
        <v>0</v>
      </c>
      <c r="O117" t="n">
        <v>0</v>
      </c>
      <c r="P117" t="n">
        <v>0</v>
      </c>
      <c r="Q117" t="n">
        <v>0</v>
      </c>
      <c r="R117" t="n">
        <v>0</v>
      </c>
      <c r="S117" t="n">
        <v>0</v>
      </c>
      <c r="T117" t="n">
        <v>0</v>
      </c>
      <c r="U117" s="2" t="inlineStr"/>
    </row>
    <row r="118" ht="15" customHeight="1">
      <c r="A118" t="inlineStr">
        <is>
          <t>A 7465-2023</t>
        </is>
      </c>
      <c r="B118" t="inlineStr">
        <is>
          <t>avverkningsanmälan</t>
        </is>
      </c>
      <c r="C118" t="inlineStr">
        <is>
          <t>Föryngringsavverkning</t>
        </is>
      </c>
      <c r="D118" s="1" t="n">
        <v>44971</v>
      </c>
      <c r="E118" s="1" t="n">
        <v>46216</v>
      </c>
      <c r="F118" t="inlineStr">
        <is>
          <t>BLEKINGE LÄN</t>
        </is>
      </c>
      <c r="G118" t="inlineStr">
        <is>
          <t>OLOFSTRÖM</t>
        </is>
      </c>
      <c r="I118" t="n">
        <v>2.8</v>
      </c>
      <c r="J118" t="n">
        <v>0</v>
      </c>
      <c r="K118" t="n">
        <v>0</v>
      </c>
      <c r="L118" t="n">
        <v>0</v>
      </c>
      <c r="M118" t="n">
        <v>0</v>
      </c>
      <c r="N118" t="n">
        <v>0</v>
      </c>
      <c r="O118" t="n">
        <v>0</v>
      </c>
      <c r="P118" t="n">
        <v>0</v>
      </c>
      <c r="Q118" t="n">
        <v>0</v>
      </c>
      <c r="R118" t="n">
        <v>0</v>
      </c>
      <c r="S118" t="n">
        <v>0</v>
      </c>
      <c r="T118" t="n">
        <v>0</v>
      </c>
      <c r="U118" s="2" t="inlineStr"/>
    </row>
    <row r="119" ht="15" customHeight="1">
      <c r="A119" t="inlineStr">
        <is>
          <t>A 38973-2024</t>
        </is>
      </c>
      <c r="B119" t="inlineStr">
        <is>
          <t>avverkningsanmälan</t>
        </is>
      </c>
      <c r="C119" t="inlineStr">
        <is>
          <t>Föryngringsavverkning</t>
        </is>
      </c>
      <c r="D119" s="1" t="n">
        <v>45548</v>
      </c>
      <c r="E119" s="1" t="n">
        <v>46216</v>
      </c>
      <c r="F119" t="inlineStr">
        <is>
          <t>BLEKINGE LÄN</t>
        </is>
      </c>
      <c r="G119" t="inlineStr">
        <is>
          <t>OLOFSTRÖM</t>
        </is>
      </c>
      <c r="I119" t="n">
        <v>11.3</v>
      </c>
      <c r="J119" t="n">
        <v>0</v>
      </c>
      <c r="K119" t="n">
        <v>0</v>
      </c>
      <c r="L119" t="n">
        <v>0</v>
      </c>
      <c r="M119" t="n">
        <v>0</v>
      </c>
      <c r="N119" t="n">
        <v>0</v>
      </c>
      <c r="O119" t="n">
        <v>0</v>
      </c>
      <c r="P119" t="n">
        <v>0</v>
      </c>
      <c r="Q119" t="n">
        <v>0</v>
      </c>
      <c r="R119" t="n">
        <v>0</v>
      </c>
      <c r="S119" t="n">
        <v>0</v>
      </c>
      <c r="T119" t="n">
        <v>0</v>
      </c>
      <c r="U119" s="2" t="inlineStr"/>
    </row>
    <row r="120" ht="15" customHeight="1">
      <c r="A120" t="inlineStr">
        <is>
          <t>A 42004-2023</t>
        </is>
      </c>
      <c r="B120" t="inlineStr">
        <is>
          <t>avverkningsanmälan</t>
        </is>
      </c>
      <c r="C120" t="inlineStr">
        <is>
          <t>Föryngringsavverkning</t>
        </is>
      </c>
      <c r="D120" s="1" t="n">
        <v>45177</v>
      </c>
      <c r="E120" s="1" t="n">
        <v>46216</v>
      </c>
      <c r="F120" t="inlineStr">
        <is>
          <t>BLEKINGE LÄN</t>
        </is>
      </c>
      <c r="G120" t="inlineStr">
        <is>
          <t>OLOFSTRÖM</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39944-2025</t>
        </is>
      </c>
      <c r="B121" t="inlineStr">
        <is>
          <t>avverkningsanmälan</t>
        </is>
      </c>
      <c r="C121" t="inlineStr">
        <is>
          <t>Föryngringsavverkning</t>
        </is>
      </c>
      <c r="D121" s="1" t="n">
        <v>45891</v>
      </c>
      <c r="E121" s="1" t="n">
        <v>46216</v>
      </c>
      <c r="F121" t="inlineStr">
        <is>
          <t>BLEKINGE LÄN</t>
        </is>
      </c>
      <c r="G121" t="inlineStr">
        <is>
          <t>OLOFSTRÖM</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40518-2025</t>
        </is>
      </c>
      <c r="B122" t="inlineStr">
        <is>
          <t>avverkningsanmälan</t>
        </is>
      </c>
      <c r="C122" t="inlineStr">
        <is>
          <t>Föryngringsavverkning</t>
        </is>
      </c>
      <c r="D122" s="1" t="n">
        <v>45896</v>
      </c>
      <c r="E122" s="1" t="n">
        <v>46216</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40523-2025</t>
        </is>
      </c>
      <c r="B123" t="inlineStr">
        <is>
          <t>avverkningsanmälan</t>
        </is>
      </c>
      <c r="C123" t="inlineStr">
        <is>
          <t>Föryngringsavverkning</t>
        </is>
      </c>
      <c r="D123" s="1" t="n">
        <v>45896</v>
      </c>
      <c r="E123" s="1" t="n">
        <v>46216</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s="2" t="inlineStr"/>
    </row>
    <row r="124" ht="15" customHeight="1">
      <c r="A124" t="inlineStr">
        <is>
          <t>A 40680-2025</t>
        </is>
      </c>
      <c r="B124" t="inlineStr">
        <is>
          <t>avverkningsanmälan</t>
        </is>
      </c>
      <c r="C124" t="inlineStr">
        <is>
          <t>Föryngringsavverkning</t>
        </is>
      </c>
      <c r="D124" s="1" t="n">
        <v>45896</v>
      </c>
      <c r="E124" s="1" t="n">
        <v>46216</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46584-2024</t>
        </is>
      </c>
      <c r="B125" t="inlineStr">
        <is>
          <t>avverkningsanmälan</t>
        </is>
      </c>
      <c r="C125" t="inlineStr">
        <is>
          <t>Föryngringsavverkning</t>
        </is>
      </c>
      <c r="D125" s="1" t="n">
        <v>45582</v>
      </c>
      <c r="E125" s="1" t="n">
        <v>46216</v>
      </c>
      <c r="F125" t="inlineStr">
        <is>
          <t>BLEKINGE LÄN</t>
        </is>
      </c>
      <c r="G125" t="inlineStr">
        <is>
          <t>OLOFSTRÖM</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41135-2025</t>
        </is>
      </c>
      <c r="B126" t="inlineStr">
        <is>
          <t>avverkningsanmälan</t>
        </is>
      </c>
      <c r="C126" t="inlineStr">
        <is>
          <t>Föryngringsavverkning</t>
        </is>
      </c>
      <c r="D126" s="1" t="n">
        <v>45898</v>
      </c>
      <c r="E126" s="1" t="n">
        <v>46216</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41258-2025</t>
        </is>
      </c>
      <c r="B127" t="inlineStr">
        <is>
          <t>avverkningsanmälan</t>
        </is>
      </c>
      <c r="C127" t="inlineStr">
        <is>
          <t>Föryngringsavverkning</t>
        </is>
      </c>
      <c r="D127" s="1" t="n">
        <v>45898</v>
      </c>
      <c r="E127" s="1" t="n">
        <v>46216</v>
      </c>
      <c r="F127" t="inlineStr">
        <is>
          <t>BLEKINGE LÄN</t>
        </is>
      </c>
      <c r="G127" t="inlineStr">
        <is>
          <t>OLOFSTRÖM</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63450-2023</t>
        </is>
      </c>
      <c r="B128" t="inlineStr">
        <is>
          <t>avverkningsanmälan</t>
        </is>
      </c>
      <c r="C128" t="inlineStr">
        <is>
          <t>Föryngringsavverkning</t>
        </is>
      </c>
      <c r="D128" s="1" t="n">
        <v>45274</v>
      </c>
      <c r="E128" s="1" t="n">
        <v>46216</v>
      </c>
      <c r="F128" t="inlineStr">
        <is>
          <t>BLEKINGE LÄN</t>
        </is>
      </c>
      <c r="G128" t="inlineStr">
        <is>
          <t>OLOFSTRÖM</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38005-2024</t>
        </is>
      </c>
      <c r="B129" t="inlineStr">
        <is>
          <t>avverkningsanmälan</t>
        </is>
      </c>
      <c r="C129" t="inlineStr">
        <is>
          <t>Föryngringsavverkning</t>
        </is>
      </c>
      <c r="D129" s="1" t="n">
        <v>45544</v>
      </c>
      <c r="E129" s="1" t="n">
        <v>46216</v>
      </c>
      <c r="F129" t="inlineStr">
        <is>
          <t>BLEKINGE LÄN</t>
        </is>
      </c>
      <c r="G129" t="inlineStr">
        <is>
          <t>OLOFSTRÖM</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45011-2024</t>
        </is>
      </c>
      <c r="B130" t="inlineStr">
        <is>
          <t>avverkningsanmälan</t>
        </is>
      </c>
      <c r="C130" t="inlineStr">
        <is>
          <t>Föryngringsavverkning</t>
        </is>
      </c>
      <c r="D130" s="1" t="n">
        <v>45575</v>
      </c>
      <c r="E130" s="1" t="n">
        <v>46216</v>
      </c>
      <c r="F130" t="inlineStr">
        <is>
          <t>BLEKINGE LÄN</t>
        </is>
      </c>
      <c r="G130" t="inlineStr">
        <is>
          <t>OLOFSTRÖM</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41748-2025</t>
        </is>
      </c>
      <c r="B131" t="inlineStr">
        <is>
          <t>avverkningsanmälan</t>
        </is>
      </c>
      <c r="C131" t="inlineStr">
        <is>
          <t>Föryngringsavverkning</t>
        </is>
      </c>
      <c r="D131" s="1" t="n">
        <v>45902</v>
      </c>
      <c r="E131" s="1" t="n">
        <v>46216</v>
      </c>
      <c r="F131" t="inlineStr">
        <is>
          <t>BLEKINGE LÄN</t>
        </is>
      </c>
      <c r="G131" t="inlineStr">
        <is>
          <t>OLOFSTRÖM</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41752-2025</t>
        </is>
      </c>
      <c r="B132" t="inlineStr">
        <is>
          <t>avverkningsanmälan</t>
        </is>
      </c>
      <c r="C132" t="inlineStr">
        <is>
          <t>Föryngringsavverkning</t>
        </is>
      </c>
      <c r="D132" s="1" t="n">
        <v>45902</v>
      </c>
      <c r="E132" s="1" t="n">
        <v>46216</v>
      </c>
      <c r="F132" t="inlineStr">
        <is>
          <t>BLEKINGE LÄN</t>
        </is>
      </c>
      <c r="G132" t="inlineStr">
        <is>
          <t>OLOFSTRÖM</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20408-2025</t>
        </is>
      </c>
      <c r="B133" t="inlineStr">
        <is>
          <t>avverkningsanmälan</t>
        </is>
      </c>
      <c r="C133" t="inlineStr">
        <is>
          <t>Föryngringsavverkning</t>
        </is>
      </c>
      <c r="D133" s="1" t="n">
        <v>45775</v>
      </c>
      <c r="E133" s="1" t="n">
        <v>46216</v>
      </c>
      <c r="F133" t="inlineStr">
        <is>
          <t>BLEKINGE LÄN</t>
        </is>
      </c>
      <c r="G133" t="inlineStr">
        <is>
          <t>OLOFSTRÖM</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30205-2025</t>
        </is>
      </c>
      <c r="B134" t="inlineStr">
        <is>
          <t>avverkningsanmälan</t>
        </is>
      </c>
      <c r="C134" t="inlineStr">
        <is>
          <t>Föryngringsavverkning</t>
        </is>
      </c>
      <c r="D134" s="1" t="n">
        <v>45827</v>
      </c>
      <c r="E134" s="1" t="n">
        <v>46216</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s="2" t="inlineStr"/>
    </row>
    <row r="135" ht="15" customHeight="1">
      <c r="A135" t="inlineStr">
        <is>
          <t>A 37558-2022</t>
        </is>
      </c>
      <c r="B135" t="inlineStr">
        <is>
          <t>avverkningsanmälan</t>
        </is>
      </c>
      <c r="C135" t="inlineStr">
        <is>
          <t>Föryngringsavverkning</t>
        </is>
      </c>
      <c r="D135" s="1" t="n">
        <v>44809</v>
      </c>
      <c r="E135" s="1" t="n">
        <v>46216</v>
      </c>
      <c r="F135" t="inlineStr">
        <is>
          <t>BLEKINGE LÄN</t>
        </is>
      </c>
      <c r="G135" t="inlineStr">
        <is>
          <t>OLOFSTRÖM</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42091-2025</t>
        </is>
      </c>
      <c r="B136" t="inlineStr">
        <is>
          <t>avverkningsanmälan</t>
        </is>
      </c>
      <c r="C136" t="inlineStr">
        <is>
          <t>Föryngringsavverkning</t>
        </is>
      </c>
      <c r="D136" s="1" t="n">
        <v>45903</v>
      </c>
      <c r="E136" s="1" t="n">
        <v>46216</v>
      </c>
      <c r="F136" t="inlineStr">
        <is>
          <t>BLEKINGE LÄN</t>
        </is>
      </c>
      <c r="G136" t="inlineStr">
        <is>
          <t>OLOFSTRÖM</t>
        </is>
      </c>
      <c r="I136" t="n">
        <v>4.7</v>
      </c>
      <c r="J136" t="n">
        <v>0</v>
      </c>
      <c r="K136" t="n">
        <v>0</v>
      </c>
      <c r="L136" t="n">
        <v>0</v>
      </c>
      <c r="M136" t="n">
        <v>0</v>
      </c>
      <c r="N136" t="n">
        <v>0</v>
      </c>
      <c r="O136" t="n">
        <v>0</v>
      </c>
      <c r="P136" t="n">
        <v>0</v>
      </c>
      <c r="Q136" t="n">
        <v>0</v>
      </c>
      <c r="R136" t="n">
        <v>0</v>
      </c>
      <c r="S136" t="n">
        <v>0</v>
      </c>
      <c r="T136" t="n">
        <v>0</v>
      </c>
      <c r="U136" s="2" t="inlineStr"/>
    </row>
    <row r="137" ht="15" customHeight="1">
      <c r="A137" t="inlineStr">
        <is>
          <t>A 14665-2025</t>
        </is>
      </c>
      <c r="B137" t="inlineStr">
        <is>
          <t>avverkningsanmälan</t>
        </is>
      </c>
      <c r="C137" t="inlineStr">
        <is>
          <t>Föryngringsavverkning</t>
        </is>
      </c>
      <c r="D137" s="1" t="n">
        <v>45742</v>
      </c>
      <c r="E137" s="1" t="n">
        <v>46216</v>
      </c>
      <c r="F137" t="inlineStr">
        <is>
          <t>BLEKINGE LÄN</t>
        </is>
      </c>
      <c r="G137" t="inlineStr">
        <is>
          <t>OLOFSTRÖM</t>
        </is>
      </c>
      <c r="I137" t="n">
        <v>4.4</v>
      </c>
      <c r="J137" t="n">
        <v>0</v>
      </c>
      <c r="K137" t="n">
        <v>0</v>
      </c>
      <c r="L137" t="n">
        <v>0</v>
      </c>
      <c r="M137" t="n">
        <v>0</v>
      </c>
      <c r="N137" t="n">
        <v>0</v>
      </c>
      <c r="O137" t="n">
        <v>0</v>
      </c>
      <c r="P137" t="n">
        <v>0</v>
      </c>
      <c r="Q137" t="n">
        <v>0</v>
      </c>
      <c r="R137" t="n">
        <v>0</v>
      </c>
      <c r="S137" t="n">
        <v>0</v>
      </c>
      <c r="T137" t="n">
        <v>0</v>
      </c>
      <c r="U137" s="2" t="inlineStr"/>
    </row>
    <row r="138" ht="15" customHeight="1">
      <c r="A138" t="inlineStr">
        <is>
          <t>A 30469-2025</t>
        </is>
      </c>
      <c r="B138" t="inlineStr">
        <is>
          <t>avverkningsanmälan</t>
        </is>
      </c>
      <c r="C138" t="inlineStr">
        <is>
          <t>Avverkning för att bevara och utveckla /försöksver</t>
        </is>
      </c>
      <c r="D138" s="1" t="n">
        <v>45827</v>
      </c>
      <c r="E138" s="1" t="n">
        <v>46216</v>
      </c>
      <c r="F138" t="inlineStr">
        <is>
          <t>BLEKINGE LÄN</t>
        </is>
      </c>
      <c r="G138" t="inlineStr">
        <is>
          <t>OLOFSTRÖM</t>
        </is>
      </c>
      <c r="H138" t="inlineStr">
        <is>
          <t>Sveaskog</t>
        </is>
      </c>
      <c r="I138" t="n">
        <v>5.9</v>
      </c>
      <c r="J138" t="n">
        <v>0</v>
      </c>
      <c r="K138" t="n">
        <v>0</v>
      </c>
      <c r="L138" t="n">
        <v>0</v>
      </c>
      <c r="M138" t="n">
        <v>0</v>
      </c>
      <c r="N138" t="n">
        <v>0</v>
      </c>
      <c r="O138" t="n">
        <v>0</v>
      </c>
      <c r="P138" t="n">
        <v>0</v>
      </c>
      <c r="Q138" t="n">
        <v>0</v>
      </c>
      <c r="R138" t="n">
        <v>0</v>
      </c>
      <c r="S138" t="n">
        <v>0</v>
      </c>
      <c r="T138" t="n">
        <v>0</v>
      </c>
      <c r="U138" s="2" t="inlineStr"/>
    </row>
    <row r="139" ht="15" customHeight="1">
      <c r="A139" t="inlineStr">
        <is>
          <t>A 30470-2025</t>
        </is>
      </c>
      <c r="B139" t="inlineStr">
        <is>
          <t>avverkningsanmälan</t>
        </is>
      </c>
      <c r="C139" t="inlineStr">
        <is>
          <t>Avverkning för att bevara och utveckla /försöksver</t>
        </is>
      </c>
      <c r="D139" s="1" t="n">
        <v>45827</v>
      </c>
      <c r="E139" s="1" t="n">
        <v>46216</v>
      </c>
      <c r="F139" t="inlineStr">
        <is>
          <t>BLEKINGE LÄN</t>
        </is>
      </c>
      <c r="G139" t="inlineStr">
        <is>
          <t>OLOFSTRÖM</t>
        </is>
      </c>
      <c r="H139" t="inlineStr">
        <is>
          <t>Sveaskog</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52223-2022</t>
        </is>
      </c>
      <c r="B140" t="inlineStr">
        <is>
          <t>avverkningsanmälan</t>
        </is>
      </c>
      <c r="C140" t="inlineStr">
        <is>
          <t>Föryngringsavverkning</t>
        </is>
      </c>
      <c r="D140" s="1" t="n">
        <v>44873</v>
      </c>
      <c r="E140" s="1" t="n">
        <v>46216</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8110-2023</t>
        </is>
      </c>
      <c r="B141" t="inlineStr">
        <is>
          <t>avverkningsanmälan</t>
        </is>
      </c>
      <c r="C141" t="inlineStr">
        <is>
          <t>Föryngringsavverkning</t>
        </is>
      </c>
      <c r="D141" s="1" t="n">
        <v>44970</v>
      </c>
      <c r="E141" s="1" t="n">
        <v>46216</v>
      </c>
      <c r="F141" t="inlineStr">
        <is>
          <t>BLEKINGE LÄN</t>
        </is>
      </c>
      <c r="G141" t="inlineStr">
        <is>
          <t>OLOFSTRÖM</t>
        </is>
      </c>
      <c r="I141" t="n">
        <v>2</v>
      </c>
      <c r="J141" t="n">
        <v>0</v>
      </c>
      <c r="K141" t="n">
        <v>0</v>
      </c>
      <c r="L141" t="n">
        <v>0</v>
      </c>
      <c r="M141" t="n">
        <v>0</v>
      </c>
      <c r="N141" t="n">
        <v>0</v>
      </c>
      <c r="O141" t="n">
        <v>0</v>
      </c>
      <c r="P141" t="n">
        <v>0</v>
      </c>
      <c r="Q141" t="n">
        <v>0</v>
      </c>
      <c r="R141" t="n">
        <v>0</v>
      </c>
      <c r="S141" t="n">
        <v>0</v>
      </c>
      <c r="T141" t="n">
        <v>0</v>
      </c>
      <c r="U141" s="2" t="inlineStr"/>
    </row>
    <row r="142" ht="15" customHeight="1">
      <c r="A142" t="inlineStr">
        <is>
          <t>A 49301-2022</t>
        </is>
      </c>
      <c r="B142" t="inlineStr">
        <is>
          <t>avverkningsanmälan</t>
        </is>
      </c>
      <c r="C142" t="inlineStr">
        <is>
          <t>Föryngringsavverkning</t>
        </is>
      </c>
      <c r="D142" s="1" t="n">
        <v>44858</v>
      </c>
      <c r="E142" s="1" t="n">
        <v>46216</v>
      </c>
      <c r="F142" t="inlineStr">
        <is>
          <t>BLEKINGE LÄN</t>
        </is>
      </c>
      <c r="G142" t="inlineStr">
        <is>
          <t>OLOFSTRÖM</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49308-2022</t>
        </is>
      </c>
      <c r="B143" t="inlineStr">
        <is>
          <t>avverkningsanmälan</t>
        </is>
      </c>
      <c r="C143" t="inlineStr">
        <is>
          <t>Föryngringsavverkning</t>
        </is>
      </c>
      <c r="D143" s="1" t="n">
        <v>44858</v>
      </c>
      <c r="E143" s="1" t="n">
        <v>46216</v>
      </c>
      <c r="F143" t="inlineStr">
        <is>
          <t>BLEKINGE LÄN</t>
        </is>
      </c>
      <c r="G143" t="inlineStr">
        <is>
          <t>OLOFSTRÖM</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54015-2021</t>
        </is>
      </c>
      <c r="B144" t="inlineStr">
        <is>
          <t>avverkningsanmälan</t>
        </is>
      </c>
      <c r="C144" t="inlineStr">
        <is>
          <t>Föryngringsavverkning</t>
        </is>
      </c>
      <c r="D144" s="1" t="n">
        <v>44470</v>
      </c>
      <c r="E144" s="1" t="n">
        <v>46216</v>
      </c>
      <c r="F144" t="inlineStr">
        <is>
          <t>BLEKINGE LÄN</t>
        </is>
      </c>
      <c r="G144" t="inlineStr">
        <is>
          <t>OLOFSTRÖM</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55995-2024</t>
        </is>
      </c>
      <c r="B145" t="inlineStr">
        <is>
          <t>avverkningsanmälan</t>
        </is>
      </c>
      <c r="C145" t="inlineStr">
        <is>
          <t>Föryngringsavverkning</t>
        </is>
      </c>
      <c r="D145" s="1" t="n">
        <v>45623</v>
      </c>
      <c r="E145" s="1" t="n">
        <v>46216</v>
      </c>
      <c r="F145" t="inlineStr">
        <is>
          <t>BLEKINGE LÄN</t>
        </is>
      </c>
      <c r="G145" t="inlineStr">
        <is>
          <t>OLOFSTRÖM</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43212-2025</t>
        </is>
      </c>
      <c r="B146" t="inlineStr">
        <is>
          <t>avverkningsanmälan</t>
        </is>
      </c>
      <c r="C146" t="inlineStr">
        <is>
          <t>Föryngringsavverkning</t>
        </is>
      </c>
      <c r="D146" s="1" t="n">
        <v>45910</v>
      </c>
      <c r="E146" s="1" t="n">
        <v>46216</v>
      </c>
      <c r="F146" t="inlineStr">
        <is>
          <t>BLEKINGE LÄN</t>
        </is>
      </c>
      <c r="G146" t="inlineStr">
        <is>
          <t>OLOFSTRÖM</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55999-2024</t>
        </is>
      </c>
      <c r="B147" t="inlineStr">
        <is>
          <t>avverkningsanmälan</t>
        </is>
      </c>
      <c r="C147" t="inlineStr">
        <is>
          <t>Föryngringsavverkning</t>
        </is>
      </c>
      <c r="D147" s="1" t="n">
        <v>45623</v>
      </c>
      <c r="E147" s="1" t="n">
        <v>46216</v>
      </c>
      <c r="F147" t="inlineStr">
        <is>
          <t>BLEKINGE LÄN</t>
        </is>
      </c>
      <c r="G147" t="inlineStr">
        <is>
          <t>OLOFSTRÖM</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46315-2025</t>
        </is>
      </c>
      <c r="B148" t="inlineStr">
        <is>
          <t>avverkningsanmälan</t>
        </is>
      </c>
      <c r="C148" t="inlineStr">
        <is>
          <t>Föryngringsavverkning</t>
        </is>
      </c>
      <c r="D148" s="1" t="n">
        <v>45925</v>
      </c>
      <c r="E148" s="1" t="n">
        <v>46216</v>
      </c>
      <c r="F148" t="inlineStr">
        <is>
          <t>BLEKINGE LÄN</t>
        </is>
      </c>
      <c r="G148" t="inlineStr">
        <is>
          <t>OLOFSTRÖM</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46325-2025</t>
        </is>
      </c>
      <c r="B149" t="inlineStr">
        <is>
          <t>avverkningsanmälan</t>
        </is>
      </c>
      <c r="C149" t="inlineStr">
        <is>
          <t>Föryngringsavverkning</t>
        </is>
      </c>
      <c r="D149" s="1" t="n">
        <v>45925</v>
      </c>
      <c r="E149" s="1" t="n">
        <v>46216</v>
      </c>
      <c r="F149" t="inlineStr">
        <is>
          <t>BLEKINGE LÄN</t>
        </is>
      </c>
      <c r="G149" t="inlineStr">
        <is>
          <t>OLOFSTRÖM</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6563-2025</t>
        </is>
      </c>
      <c r="B150" t="inlineStr">
        <is>
          <t>avverkningsanmälan</t>
        </is>
      </c>
      <c r="C150" t="inlineStr">
        <is>
          <t>Föryngringsavverkning</t>
        </is>
      </c>
      <c r="D150" s="1" t="n">
        <v>45699</v>
      </c>
      <c r="E150" s="1" t="n">
        <v>46216</v>
      </c>
      <c r="F150" t="inlineStr">
        <is>
          <t>BLEKINGE LÄN</t>
        </is>
      </c>
      <c r="G150" t="inlineStr">
        <is>
          <t>OLOFSTRÖM</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62698-2023</t>
        </is>
      </c>
      <c r="B151" t="inlineStr">
        <is>
          <t>avverkningsanmälan</t>
        </is>
      </c>
      <c r="C151" t="inlineStr">
        <is>
          <t>Föryngringsavverkning</t>
        </is>
      </c>
      <c r="D151" s="1" t="n">
        <v>45268</v>
      </c>
      <c r="E151" s="1" t="n">
        <v>46216</v>
      </c>
      <c r="F151" t="inlineStr">
        <is>
          <t>BLEKINGE LÄN</t>
        </is>
      </c>
      <c r="G151" t="inlineStr">
        <is>
          <t>OLOFSTRÖM</t>
        </is>
      </c>
      <c r="H151" t="inlineStr">
        <is>
          <t>Övriga Aktiebolag</t>
        </is>
      </c>
      <c r="I151" t="n">
        <v>2.5</v>
      </c>
      <c r="J151" t="n">
        <v>0</v>
      </c>
      <c r="K151" t="n">
        <v>0</v>
      </c>
      <c r="L151" t="n">
        <v>0</v>
      </c>
      <c r="M151" t="n">
        <v>0</v>
      </c>
      <c r="N151" t="n">
        <v>0</v>
      </c>
      <c r="O151" t="n">
        <v>0</v>
      </c>
      <c r="P151" t="n">
        <v>0</v>
      </c>
      <c r="Q151" t="n">
        <v>0</v>
      </c>
      <c r="R151" t="n">
        <v>0</v>
      </c>
      <c r="S151" t="n">
        <v>0</v>
      </c>
      <c r="T151" t="n">
        <v>0</v>
      </c>
      <c r="U151" s="2" t="inlineStr"/>
    </row>
    <row r="152" ht="15" customHeight="1">
      <c r="A152" t="inlineStr">
        <is>
          <t>A 42431-2023</t>
        </is>
      </c>
      <c r="B152" t="inlineStr">
        <is>
          <t>avverkningsanmälan</t>
        </is>
      </c>
      <c r="C152" t="inlineStr">
        <is>
          <t>Föryngringsavverkning</t>
        </is>
      </c>
      <c r="D152" s="1" t="n">
        <v>45180</v>
      </c>
      <c r="E152" s="1" t="n">
        <v>46216</v>
      </c>
      <c r="F152" t="inlineStr">
        <is>
          <t>BLEKINGE LÄN</t>
        </is>
      </c>
      <c r="G152" t="inlineStr">
        <is>
          <t>OLOFSTRÖM</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51460-2023</t>
        </is>
      </c>
      <c r="B153" t="inlineStr">
        <is>
          <t>avverkningsanmälan</t>
        </is>
      </c>
      <c r="C153" t="inlineStr">
        <is>
          <t>Föryngringsavverkning</t>
        </is>
      </c>
      <c r="D153" s="1" t="n">
        <v>45221</v>
      </c>
      <c r="E153" s="1" t="n">
        <v>46216</v>
      </c>
      <c r="F153" t="inlineStr">
        <is>
          <t>BLEKINGE LÄN</t>
        </is>
      </c>
      <c r="G153" t="inlineStr">
        <is>
          <t>OLOFSTRÖM</t>
        </is>
      </c>
      <c r="I153" t="n">
        <v>5.8</v>
      </c>
      <c r="J153" t="n">
        <v>0</v>
      </c>
      <c r="K153" t="n">
        <v>0</v>
      </c>
      <c r="L153" t="n">
        <v>0</v>
      </c>
      <c r="M153" t="n">
        <v>0</v>
      </c>
      <c r="N153" t="n">
        <v>0</v>
      </c>
      <c r="O153" t="n">
        <v>0</v>
      </c>
      <c r="P153" t="n">
        <v>0</v>
      </c>
      <c r="Q153" t="n">
        <v>0</v>
      </c>
      <c r="R153" t="n">
        <v>0</v>
      </c>
      <c r="S153" t="n">
        <v>0</v>
      </c>
      <c r="T153" t="n">
        <v>0</v>
      </c>
      <c r="U153" s="2" t="inlineStr"/>
    </row>
    <row r="154" ht="15" customHeight="1">
      <c r="A154" t="inlineStr">
        <is>
          <t>A 46531-2023</t>
        </is>
      </c>
      <c r="B154" t="inlineStr">
        <is>
          <t>avverkningsanmälan</t>
        </is>
      </c>
      <c r="C154" t="inlineStr">
        <is>
          <t>Föryngringsavverkning</t>
        </is>
      </c>
      <c r="D154" s="1" t="n">
        <v>45197</v>
      </c>
      <c r="E154" s="1" t="n">
        <v>46216</v>
      </c>
      <c r="F154" t="inlineStr">
        <is>
          <t>BLEKINGE LÄN</t>
        </is>
      </c>
      <c r="G154" t="inlineStr">
        <is>
          <t>OLOFSTRÖM</t>
        </is>
      </c>
      <c r="I154" t="n">
        <v>2.7</v>
      </c>
      <c r="J154" t="n">
        <v>0</v>
      </c>
      <c r="K154" t="n">
        <v>0</v>
      </c>
      <c r="L154" t="n">
        <v>0</v>
      </c>
      <c r="M154" t="n">
        <v>0</v>
      </c>
      <c r="N154" t="n">
        <v>0</v>
      </c>
      <c r="O154" t="n">
        <v>0</v>
      </c>
      <c r="P154" t="n">
        <v>0</v>
      </c>
      <c r="Q154" t="n">
        <v>0</v>
      </c>
      <c r="R154" t="n">
        <v>0</v>
      </c>
      <c r="S154" t="n">
        <v>0</v>
      </c>
      <c r="T154" t="n">
        <v>0</v>
      </c>
      <c r="U154" s="2" t="inlineStr"/>
    </row>
    <row r="155" ht="15" customHeight="1">
      <c r="A155" t="inlineStr">
        <is>
          <t>A 47226-2025</t>
        </is>
      </c>
      <c r="B155" t="inlineStr">
        <is>
          <t>avverkningsanmälan</t>
        </is>
      </c>
      <c r="C155" t="inlineStr">
        <is>
          <t>Föryngringsavverkning</t>
        </is>
      </c>
      <c r="D155" s="1" t="n">
        <v>45930</v>
      </c>
      <c r="E155" s="1" t="n">
        <v>46216</v>
      </c>
      <c r="F155" t="inlineStr">
        <is>
          <t>BLEKINGE LÄN</t>
        </is>
      </c>
      <c r="G155" t="inlineStr">
        <is>
          <t>OLOFSTRÖM</t>
        </is>
      </c>
      <c r="I155" t="n">
        <v>7.3</v>
      </c>
      <c r="J155" t="n">
        <v>0</v>
      </c>
      <c r="K155" t="n">
        <v>0</v>
      </c>
      <c r="L155" t="n">
        <v>0</v>
      </c>
      <c r="M155" t="n">
        <v>0</v>
      </c>
      <c r="N155" t="n">
        <v>0</v>
      </c>
      <c r="O155" t="n">
        <v>0</v>
      </c>
      <c r="P155" t="n">
        <v>0</v>
      </c>
      <c r="Q155" t="n">
        <v>0</v>
      </c>
      <c r="R155" t="n">
        <v>0</v>
      </c>
      <c r="S155" t="n">
        <v>0</v>
      </c>
      <c r="T155" t="n">
        <v>0</v>
      </c>
      <c r="U155" s="2" t="inlineStr"/>
    </row>
    <row r="156" ht="15" customHeight="1">
      <c r="A156" t="inlineStr">
        <is>
          <t>A 47774-2023</t>
        </is>
      </c>
      <c r="B156" t="inlineStr">
        <is>
          <t>avverkningsanmälan</t>
        </is>
      </c>
      <c r="C156" t="inlineStr">
        <is>
          <t>Föryngringsavverkning</t>
        </is>
      </c>
      <c r="D156" s="1" t="n">
        <v>45203</v>
      </c>
      <c r="E156" s="1" t="n">
        <v>46216</v>
      </c>
      <c r="F156" t="inlineStr">
        <is>
          <t>BLEKINGE LÄN</t>
        </is>
      </c>
      <c r="G156" t="inlineStr">
        <is>
          <t>OLOFSTRÖM</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64810-2023</t>
        </is>
      </c>
      <c r="B157" t="inlineStr">
        <is>
          <t>avverkningsanmälan</t>
        </is>
      </c>
      <c r="C157" t="inlineStr">
        <is>
          <t>Föryngringsavverkning</t>
        </is>
      </c>
      <c r="D157" s="1" t="n">
        <v>45282</v>
      </c>
      <c r="E157" s="1" t="n">
        <v>46216</v>
      </c>
      <c r="F157" t="inlineStr">
        <is>
          <t>BLEKINGE LÄN</t>
        </is>
      </c>
      <c r="G157" t="inlineStr">
        <is>
          <t>OLOFSTRÖM</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56072-2023</t>
        </is>
      </c>
      <c r="B158" t="inlineStr">
        <is>
          <t>avverkningsanmälan</t>
        </is>
      </c>
      <c r="C158" t="inlineStr">
        <is>
          <t>Föryngringsavverkning</t>
        </is>
      </c>
      <c r="D158" s="1" t="n">
        <v>45233</v>
      </c>
      <c r="E158" s="1" t="n">
        <v>46216</v>
      </c>
      <c r="F158" t="inlineStr">
        <is>
          <t>BLEKINGE LÄN</t>
        </is>
      </c>
      <c r="G158" t="inlineStr">
        <is>
          <t>OLOFSTRÖM</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36427-2025</t>
        </is>
      </c>
      <c r="B159" t="inlineStr">
        <is>
          <t>avverkningsanmälan</t>
        </is>
      </c>
      <c r="C159" t="inlineStr">
        <is>
          <t>Föryngringsavverkning</t>
        </is>
      </c>
      <c r="D159" s="1" t="n">
        <v>45868</v>
      </c>
      <c r="E159" s="1" t="n">
        <v>46216</v>
      </c>
      <c r="F159" t="inlineStr">
        <is>
          <t>BLEKINGE LÄN</t>
        </is>
      </c>
      <c r="G159" t="inlineStr">
        <is>
          <t>OLOFSTRÖM</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39058-2024</t>
        </is>
      </c>
      <c r="B160" t="inlineStr">
        <is>
          <t>avverkningsanmälan</t>
        </is>
      </c>
      <c r="C160" t="inlineStr">
        <is>
          <t>Föryngringsavverkning</t>
        </is>
      </c>
      <c r="D160" s="1" t="n">
        <v>45548</v>
      </c>
      <c r="E160" s="1" t="n">
        <v>46216</v>
      </c>
      <c r="F160" t="inlineStr">
        <is>
          <t>BLEKINGE LÄN</t>
        </is>
      </c>
      <c r="G160" t="inlineStr">
        <is>
          <t>OLOFSTRÖM</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53605-2024</t>
        </is>
      </c>
      <c r="B161" t="inlineStr">
        <is>
          <t>avverkningsanmälan</t>
        </is>
      </c>
      <c r="C161" t="inlineStr">
        <is>
          <t>Föryngringsavverkning</t>
        </is>
      </c>
      <c r="D161" s="1" t="n">
        <v>45614</v>
      </c>
      <c r="E161" s="1" t="n">
        <v>46216</v>
      </c>
      <c r="F161" t="inlineStr">
        <is>
          <t>BLEKINGE LÄN</t>
        </is>
      </c>
      <c r="G161" t="inlineStr">
        <is>
          <t>OLOFSTRÖM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49271-2025</t>
        </is>
      </c>
      <c r="B162" t="inlineStr">
        <is>
          <t>avverkningsanmälan</t>
        </is>
      </c>
      <c r="C162" t="inlineStr">
        <is>
          <t>Föryngringsavverkning</t>
        </is>
      </c>
      <c r="D162" s="1" t="n">
        <v>45938</v>
      </c>
      <c r="E162" s="1" t="n">
        <v>46216</v>
      </c>
      <c r="F162" t="inlineStr">
        <is>
          <t>BLEKINGE LÄN</t>
        </is>
      </c>
      <c r="G162" t="inlineStr">
        <is>
          <t>OLOFSTRÖM</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49784-2025</t>
        </is>
      </c>
      <c r="B163" t="inlineStr">
        <is>
          <t>avverkningsanmälan</t>
        </is>
      </c>
      <c r="C163" t="inlineStr">
        <is>
          <t>Föryngringsavverkning</t>
        </is>
      </c>
      <c r="D163" s="1" t="n">
        <v>45940</v>
      </c>
      <c r="E163" s="1" t="n">
        <v>46216</v>
      </c>
      <c r="F163" t="inlineStr">
        <is>
          <t>BLEKINGE LÄN</t>
        </is>
      </c>
      <c r="G163" t="inlineStr">
        <is>
          <t>OLOFSTRÖM</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42736-2022</t>
        </is>
      </c>
      <c r="B164" t="inlineStr">
        <is>
          <t>avverkningsanmälan</t>
        </is>
      </c>
      <c r="C164" t="inlineStr">
        <is>
          <t>Föryngringsavverkning</t>
        </is>
      </c>
      <c r="D164" s="1" t="n">
        <v>44832</v>
      </c>
      <c r="E164" s="1" t="n">
        <v>46216</v>
      </c>
      <c r="F164" t="inlineStr">
        <is>
          <t>BLEKINGE LÄN</t>
        </is>
      </c>
      <c r="G164" t="inlineStr">
        <is>
          <t>OLOFSTRÖM</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10144-2025</t>
        </is>
      </c>
      <c r="B165" t="inlineStr">
        <is>
          <t>avverkningsanmälan</t>
        </is>
      </c>
      <c r="C165" t="inlineStr">
        <is>
          <t>Föryngringsavverkning</t>
        </is>
      </c>
      <c r="D165" s="1" t="n">
        <v>45719</v>
      </c>
      <c r="E165" s="1" t="n">
        <v>46216</v>
      </c>
      <c r="F165" t="inlineStr">
        <is>
          <t>BLEKINGE LÄN</t>
        </is>
      </c>
      <c r="G165" t="inlineStr">
        <is>
          <t>OLOFSTRÖM</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2300-2023</t>
        </is>
      </c>
      <c r="B166" t="inlineStr">
        <is>
          <t>avverkningsanmälan</t>
        </is>
      </c>
      <c r="C166" t="inlineStr">
        <is>
          <t>Föryngringsavverkning</t>
        </is>
      </c>
      <c r="D166" s="1" t="n">
        <v>44942</v>
      </c>
      <c r="E166" s="1" t="n">
        <v>46216</v>
      </c>
      <c r="F166" t="inlineStr">
        <is>
          <t>BLEKINGE LÄN</t>
        </is>
      </c>
      <c r="G166" t="inlineStr">
        <is>
          <t>OLOFSTRÖM</t>
        </is>
      </c>
      <c r="H166" t="inlineStr">
        <is>
          <t>Kommuner</t>
        </is>
      </c>
      <c r="I166" t="n">
        <v>3.9</v>
      </c>
      <c r="J166" t="n">
        <v>0</v>
      </c>
      <c r="K166" t="n">
        <v>0</v>
      </c>
      <c r="L166" t="n">
        <v>0</v>
      </c>
      <c r="M166" t="n">
        <v>0</v>
      </c>
      <c r="N166" t="n">
        <v>0</v>
      </c>
      <c r="O166" t="n">
        <v>0</v>
      </c>
      <c r="P166" t="n">
        <v>0</v>
      </c>
      <c r="Q166" t="n">
        <v>0</v>
      </c>
      <c r="R166" t="n">
        <v>0</v>
      </c>
      <c r="S166" t="n">
        <v>0</v>
      </c>
      <c r="T166" t="n">
        <v>0</v>
      </c>
      <c r="U166" s="2" t="inlineStr"/>
    </row>
    <row r="167" ht="15" customHeight="1">
      <c r="A167" t="inlineStr">
        <is>
          <t>A 3735-2023</t>
        </is>
      </c>
      <c r="B167" t="inlineStr">
        <is>
          <t>avverkningsanmälan</t>
        </is>
      </c>
      <c r="C167" t="inlineStr">
        <is>
          <t>Föryngringsavverkning</t>
        </is>
      </c>
      <c r="D167" s="1" t="n">
        <v>44951</v>
      </c>
      <c r="E167" s="1" t="n">
        <v>46216</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s="2" t="inlineStr"/>
    </row>
    <row r="168" ht="15" customHeight="1">
      <c r="A168" t="inlineStr">
        <is>
          <t>A 8043-2025</t>
        </is>
      </c>
      <c r="B168" t="inlineStr">
        <is>
          <t>avverkningsanmälan</t>
        </is>
      </c>
      <c r="C168" t="inlineStr">
        <is>
          <t>Föryngringsavverkning</t>
        </is>
      </c>
      <c r="D168" s="1" t="n">
        <v>45707</v>
      </c>
      <c r="E168" s="1" t="n">
        <v>46216</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s="2" t="inlineStr"/>
    </row>
    <row r="169" ht="15" customHeight="1">
      <c r="A169" t="inlineStr">
        <is>
          <t>A 56010-2022</t>
        </is>
      </c>
      <c r="B169" t="inlineStr">
        <is>
          <t>avverkningsanmälan</t>
        </is>
      </c>
      <c r="C169" t="inlineStr">
        <is>
          <t>Föryngringsavverkning</t>
        </is>
      </c>
      <c r="D169" s="1" t="n">
        <v>44889</v>
      </c>
      <c r="E169" s="1" t="n">
        <v>46216</v>
      </c>
      <c r="F169" t="inlineStr">
        <is>
          <t>BLEKINGE LÄN</t>
        </is>
      </c>
      <c r="G169" t="inlineStr">
        <is>
          <t>OLOFSTRÖM</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49704-2021</t>
        </is>
      </c>
      <c r="B170" t="inlineStr">
        <is>
          <t>avverkningsanmälan</t>
        </is>
      </c>
      <c r="C170" t="inlineStr">
        <is>
          <t>Föryngringsavverkning</t>
        </is>
      </c>
      <c r="D170" s="1" t="n">
        <v>44455</v>
      </c>
      <c r="E170" s="1" t="n">
        <v>46216</v>
      </c>
      <c r="F170" t="inlineStr">
        <is>
          <t>BLEKINGE LÄN</t>
        </is>
      </c>
      <c r="G170" t="inlineStr">
        <is>
          <t>OLOFSTRÖM</t>
        </is>
      </c>
      <c r="I170" t="n">
        <v>8.199999999999999</v>
      </c>
      <c r="J170" t="n">
        <v>0</v>
      </c>
      <c r="K170" t="n">
        <v>0</v>
      </c>
      <c r="L170" t="n">
        <v>0</v>
      </c>
      <c r="M170" t="n">
        <v>0</v>
      </c>
      <c r="N170" t="n">
        <v>0</v>
      </c>
      <c r="O170" t="n">
        <v>0</v>
      </c>
      <c r="P170" t="n">
        <v>0</v>
      </c>
      <c r="Q170" t="n">
        <v>0</v>
      </c>
      <c r="R170" t="n">
        <v>0</v>
      </c>
      <c r="S170" t="n">
        <v>0</v>
      </c>
      <c r="T170" t="n">
        <v>0</v>
      </c>
      <c r="U170" s="2" t="inlineStr"/>
    </row>
    <row r="171" ht="15" customHeight="1">
      <c r="A171" t="inlineStr">
        <is>
          <t>A 3542-2026</t>
        </is>
      </c>
      <c r="B171" t="inlineStr">
        <is>
          <t>avverkningsanmälan</t>
        </is>
      </c>
      <c r="C171" t="inlineStr">
        <is>
          <t>Föryngringsavverkning</t>
        </is>
      </c>
      <c r="D171" s="1" t="n">
        <v>46042</v>
      </c>
      <c r="E171" s="1" t="n">
        <v>46216</v>
      </c>
      <c r="F171" t="inlineStr">
        <is>
          <t>BLEKINGE LÄN</t>
        </is>
      </c>
      <c r="G171" t="inlineStr">
        <is>
          <t>OLOFSTRÖM</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38729-2025</t>
        </is>
      </c>
      <c r="B172" t="inlineStr">
        <is>
          <t>avverkningsanmälan</t>
        </is>
      </c>
      <c r="C172" t="inlineStr">
        <is>
          <t>Föryngringsavverkning</t>
        </is>
      </c>
      <c r="D172" s="1" t="n">
        <v>45887</v>
      </c>
      <c r="E172" s="1" t="n">
        <v>46216</v>
      </c>
      <c r="F172" t="inlineStr">
        <is>
          <t>BLEKINGE LÄN</t>
        </is>
      </c>
      <c r="G172" t="inlineStr">
        <is>
          <t>OLOFSTRÖM</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52751-2025</t>
        </is>
      </c>
      <c r="B173" t="inlineStr">
        <is>
          <t>avverkningsanmälan</t>
        </is>
      </c>
      <c r="C173" t="inlineStr">
        <is>
          <t>Föryngringsavverkning</t>
        </is>
      </c>
      <c r="D173" s="1" t="n">
        <v>45957</v>
      </c>
      <c r="E173" s="1" t="n">
        <v>46216</v>
      </c>
      <c r="F173" t="inlineStr">
        <is>
          <t>BLEKINGE LÄN</t>
        </is>
      </c>
      <c r="G173" t="inlineStr">
        <is>
          <t>OLOFSTRÖM</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52694-2025</t>
        </is>
      </c>
      <c r="B174" t="inlineStr">
        <is>
          <t>avverkningsanmälan</t>
        </is>
      </c>
      <c r="C174" t="inlineStr">
        <is>
          <t>Avverkning för att bevara och utveckla /försöksver</t>
        </is>
      </c>
      <c r="D174" s="1" t="n">
        <v>45956</v>
      </c>
      <c r="E174" s="1" t="n">
        <v>46216</v>
      </c>
      <c r="F174" t="inlineStr">
        <is>
          <t>BLEKINGE LÄN</t>
        </is>
      </c>
      <c r="G174" t="inlineStr">
        <is>
          <t>OLOFSTRÖM</t>
        </is>
      </c>
      <c r="H174" t="inlineStr">
        <is>
          <t>Sveaskog</t>
        </is>
      </c>
      <c r="I174" t="n">
        <v>4.1</v>
      </c>
      <c r="J174" t="n">
        <v>0</v>
      </c>
      <c r="K174" t="n">
        <v>0</v>
      </c>
      <c r="L174" t="n">
        <v>0</v>
      </c>
      <c r="M174" t="n">
        <v>0</v>
      </c>
      <c r="N174" t="n">
        <v>0</v>
      </c>
      <c r="O174" t="n">
        <v>0</v>
      </c>
      <c r="P174" t="n">
        <v>0</v>
      </c>
      <c r="Q174" t="n">
        <v>0</v>
      </c>
      <c r="R174" t="n">
        <v>0</v>
      </c>
      <c r="S174" t="n">
        <v>0</v>
      </c>
      <c r="T174" t="n">
        <v>0</v>
      </c>
      <c r="U174" s="2" t="inlineStr"/>
    </row>
    <row r="175" ht="15" customHeight="1">
      <c r="A175" t="inlineStr">
        <is>
          <t>A 31294-2023</t>
        </is>
      </c>
      <c r="B175" t="inlineStr">
        <is>
          <t>avverkningsanmälan</t>
        </is>
      </c>
      <c r="C175" t="inlineStr">
        <is>
          <t>Föryngringsavverkning</t>
        </is>
      </c>
      <c r="D175" s="1" t="n">
        <v>45114</v>
      </c>
      <c r="E175" s="1" t="n">
        <v>46216</v>
      </c>
      <c r="F175" t="inlineStr">
        <is>
          <t>BLEKINGE LÄN</t>
        </is>
      </c>
      <c r="G175" t="inlineStr">
        <is>
          <t>OLOFSTRÖM</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4329-2026</t>
        </is>
      </c>
      <c r="B176" t="inlineStr">
        <is>
          <t>avverkningsanmälan</t>
        </is>
      </c>
      <c r="C176" t="inlineStr">
        <is>
          <t>Föryngringsavverkning</t>
        </is>
      </c>
      <c r="D176" s="1" t="n">
        <v>46045</v>
      </c>
      <c r="E176" s="1" t="n">
        <v>46216</v>
      </c>
      <c r="F176" t="inlineStr">
        <is>
          <t>BLEKINGE LÄN</t>
        </is>
      </c>
      <c r="G176" t="inlineStr">
        <is>
          <t>OLOFSTRÖM</t>
        </is>
      </c>
      <c r="H176" t="inlineStr">
        <is>
          <t>Kommuner</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1015-2023</t>
        </is>
      </c>
      <c r="B177" t="inlineStr">
        <is>
          <t>avverkningsanmälan</t>
        </is>
      </c>
      <c r="C177" t="inlineStr">
        <is>
          <t>Föryngringsavverkning</t>
        </is>
      </c>
      <c r="D177" s="1" t="n">
        <v>44935</v>
      </c>
      <c r="E177" s="1" t="n">
        <v>46216</v>
      </c>
      <c r="F177" t="inlineStr">
        <is>
          <t>BLEKINGE LÄN</t>
        </is>
      </c>
      <c r="G177" t="inlineStr">
        <is>
          <t>OLOFSTRÖM</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30509-2023</t>
        </is>
      </c>
      <c r="B178" t="inlineStr">
        <is>
          <t>avverkningsanmälan</t>
        </is>
      </c>
      <c r="C178" t="inlineStr">
        <is>
          <t>Föryngringsavverkning</t>
        </is>
      </c>
      <c r="D178" s="1" t="n">
        <v>45111</v>
      </c>
      <c r="E178" s="1" t="n">
        <v>46216</v>
      </c>
      <c r="F178" t="inlineStr">
        <is>
          <t>BLEKINGE LÄN</t>
        </is>
      </c>
      <c r="G178" t="inlineStr">
        <is>
          <t>OLOFSTRÖM</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47892-2023</t>
        </is>
      </c>
      <c r="B179" t="inlineStr">
        <is>
          <t>avverkningsanmälan</t>
        </is>
      </c>
      <c r="C179" t="inlineStr">
        <is>
          <t>Föryngringsavverkning</t>
        </is>
      </c>
      <c r="D179" s="1" t="n">
        <v>45198</v>
      </c>
      <c r="E179" s="1" t="n">
        <v>46216</v>
      </c>
      <c r="F179" t="inlineStr">
        <is>
          <t>BLEKINGE LÄN</t>
        </is>
      </c>
      <c r="G179" t="inlineStr">
        <is>
          <t>OLOFSTRÖM</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54492-2025</t>
        </is>
      </c>
      <c r="B180" t="inlineStr">
        <is>
          <t>avverkningsanmälan</t>
        </is>
      </c>
      <c r="C180" t="inlineStr">
        <is>
          <t>Föryngringsavverkning</t>
        </is>
      </c>
      <c r="D180" s="1" t="n">
        <v>45965</v>
      </c>
      <c r="E180" s="1" t="n">
        <v>46216</v>
      </c>
      <c r="F180" t="inlineStr">
        <is>
          <t>BLEKINGE LÄN</t>
        </is>
      </c>
      <c r="G180" t="inlineStr">
        <is>
          <t>OLOFSTRÖM</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54043-2025</t>
        </is>
      </c>
      <c r="B181" t="inlineStr">
        <is>
          <t>avverkningsanmälan</t>
        </is>
      </c>
      <c r="C181" t="inlineStr">
        <is>
          <t>Föryngringsavverkning</t>
        </is>
      </c>
      <c r="D181" s="1" t="n">
        <v>45963</v>
      </c>
      <c r="E181" s="1" t="n">
        <v>46216</v>
      </c>
      <c r="F181" t="inlineStr">
        <is>
          <t>BLEKINGE LÄN</t>
        </is>
      </c>
      <c r="G181" t="inlineStr">
        <is>
          <t>OLOFSTRÖM</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57238-2024</t>
        </is>
      </c>
      <c r="B182" t="inlineStr">
        <is>
          <t>avverkningsanmälan</t>
        </is>
      </c>
      <c r="C182" t="inlineStr">
        <is>
          <t>Föryngringsavverkning</t>
        </is>
      </c>
      <c r="D182" s="1" t="n">
        <v>45629</v>
      </c>
      <c r="E182" s="1" t="n">
        <v>46216</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5465-2026</t>
        </is>
      </c>
      <c r="B183" t="inlineStr">
        <is>
          <t>avverkningsanmälan</t>
        </is>
      </c>
      <c r="C183" t="inlineStr">
        <is>
          <t>Föryngringsavverkning</t>
        </is>
      </c>
      <c r="D183" s="1" t="n">
        <v>46050</v>
      </c>
      <c r="E183" s="1" t="n">
        <v>46216</v>
      </c>
      <c r="F183" t="inlineStr">
        <is>
          <t>BLEKINGE LÄN</t>
        </is>
      </c>
      <c r="G183" t="inlineStr">
        <is>
          <t>OLOFSTRÖM</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55074-2025</t>
        </is>
      </c>
      <c r="B184" t="inlineStr">
        <is>
          <t>avverkningsanmälan</t>
        </is>
      </c>
      <c r="C184" t="inlineStr">
        <is>
          <t>Föryngringsavverkning</t>
        </is>
      </c>
      <c r="D184" s="1" t="n">
        <v>45967</v>
      </c>
      <c r="E184" s="1" t="n">
        <v>46216</v>
      </c>
      <c r="F184" t="inlineStr">
        <is>
          <t>BLEKINGE LÄN</t>
        </is>
      </c>
      <c r="G184" t="inlineStr">
        <is>
          <t>OLOFSTRÖM</t>
        </is>
      </c>
      <c r="I184" t="n">
        <v>0.2</v>
      </c>
      <c r="J184" t="n">
        <v>0</v>
      </c>
      <c r="K184" t="n">
        <v>0</v>
      </c>
      <c r="L184" t="n">
        <v>0</v>
      </c>
      <c r="M184" t="n">
        <v>0</v>
      </c>
      <c r="N184" t="n">
        <v>0</v>
      </c>
      <c r="O184" t="n">
        <v>0</v>
      </c>
      <c r="P184" t="n">
        <v>0</v>
      </c>
      <c r="Q184" t="n">
        <v>0</v>
      </c>
      <c r="R184" t="n">
        <v>0</v>
      </c>
      <c r="S184" t="n">
        <v>0</v>
      </c>
      <c r="T184" t="n">
        <v>0</v>
      </c>
      <c r="U184" s="2" t="inlineStr"/>
    </row>
    <row r="185" ht="15" customHeight="1">
      <c r="A185" t="inlineStr">
        <is>
          <t>A 17017-2025</t>
        </is>
      </c>
      <c r="B185" t="inlineStr">
        <is>
          <t>avverkningsanmälan</t>
        </is>
      </c>
      <c r="C185" t="inlineStr">
        <is>
          <t>Föryngringsavverkning</t>
        </is>
      </c>
      <c r="D185" s="1" t="n">
        <v>45755</v>
      </c>
      <c r="E185" s="1" t="n">
        <v>46216</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56678-2025</t>
        </is>
      </c>
      <c r="B186" t="inlineStr">
        <is>
          <t>avverkningsanmälan</t>
        </is>
      </c>
      <c r="C186" t="inlineStr">
        <is>
          <t>Föryngringsavverkning</t>
        </is>
      </c>
      <c r="D186" s="1" t="n">
        <v>45975</v>
      </c>
      <c r="E186" s="1" t="n">
        <v>46216</v>
      </c>
      <c r="F186" t="inlineStr">
        <is>
          <t>BLEKINGE LÄN</t>
        </is>
      </c>
      <c r="G186" t="inlineStr">
        <is>
          <t>OLOFSTRÖM</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8041-2025</t>
        </is>
      </c>
      <c r="B187" t="inlineStr">
        <is>
          <t>avverkningsanmälan</t>
        </is>
      </c>
      <c r="C187" t="inlineStr">
        <is>
          <t>Föryngringsavverkning</t>
        </is>
      </c>
      <c r="D187" s="1" t="n">
        <v>45707</v>
      </c>
      <c r="E187" s="1" t="n">
        <v>46216</v>
      </c>
      <c r="F187" t="inlineStr">
        <is>
          <t>BLEKINGE LÄN</t>
        </is>
      </c>
      <c r="G187" t="inlineStr">
        <is>
          <t>OLOFSTRÖM</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8060-2025</t>
        </is>
      </c>
      <c r="B188" t="inlineStr">
        <is>
          <t>avverkningsanmälan</t>
        </is>
      </c>
      <c r="C188" t="inlineStr">
        <is>
          <t>Föryngringsavverkning</t>
        </is>
      </c>
      <c r="D188" s="1" t="n">
        <v>45707</v>
      </c>
      <c r="E188" s="1" t="n">
        <v>46216</v>
      </c>
      <c r="F188" t="inlineStr">
        <is>
          <t>BLEKINGE LÄN</t>
        </is>
      </c>
      <c r="G188" t="inlineStr">
        <is>
          <t>OLOFSTRÖM</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6748-2026</t>
        </is>
      </c>
      <c r="B189" t="inlineStr">
        <is>
          <t>avverkningsanmälan</t>
        </is>
      </c>
      <c r="C189" t="inlineStr">
        <is>
          <t>Föryngringsavverkning</t>
        </is>
      </c>
      <c r="D189" s="1" t="n">
        <v>46056</v>
      </c>
      <c r="E189" s="1" t="n">
        <v>46216</v>
      </c>
      <c r="F189" t="inlineStr">
        <is>
          <t>BLEKINGE LÄN</t>
        </is>
      </c>
      <c r="G189" t="inlineStr">
        <is>
          <t>OLOFSTRÖM</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61802-2023</t>
        </is>
      </c>
      <c r="B190" t="inlineStr">
        <is>
          <t>avverkningsanmälan</t>
        </is>
      </c>
      <c r="C190" t="inlineStr">
        <is>
          <t>Föryngringsavverkning</t>
        </is>
      </c>
      <c r="D190" s="1" t="n">
        <v>45265</v>
      </c>
      <c r="E190" s="1" t="n">
        <v>46216</v>
      </c>
      <c r="F190" t="inlineStr">
        <is>
          <t>BLEKINGE LÄN</t>
        </is>
      </c>
      <c r="G190" t="inlineStr">
        <is>
          <t>OLOFSTRÖM</t>
        </is>
      </c>
      <c r="I190" t="n">
        <v>3.2</v>
      </c>
      <c r="J190" t="n">
        <v>0</v>
      </c>
      <c r="K190" t="n">
        <v>0</v>
      </c>
      <c r="L190" t="n">
        <v>0</v>
      </c>
      <c r="M190" t="n">
        <v>0</v>
      </c>
      <c r="N190" t="n">
        <v>0</v>
      </c>
      <c r="O190" t="n">
        <v>0</v>
      </c>
      <c r="P190" t="n">
        <v>0</v>
      </c>
      <c r="Q190" t="n">
        <v>0</v>
      </c>
      <c r="R190" t="n">
        <v>0</v>
      </c>
      <c r="S190" t="n">
        <v>0</v>
      </c>
      <c r="T190" t="n">
        <v>0</v>
      </c>
      <c r="U190" s="2" t="inlineStr"/>
    </row>
    <row r="191" ht="15" customHeight="1">
      <c r="A191" t="inlineStr">
        <is>
          <t>A 10717-2022</t>
        </is>
      </c>
      <c r="B191" t="inlineStr">
        <is>
          <t>avverkningsanmälan</t>
        </is>
      </c>
      <c r="C191" t="inlineStr">
        <is>
          <t>Avverkning för annat ändamål</t>
        </is>
      </c>
      <c r="D191" s="1" t="n">
        <v>44626</v>
      </c>
      <c r="E191" s="1" t="n">
        <v>46216</v>
      </c>
      <c r="F191" t="inlineStr">
        <is>
          <t>BLEKINGE LÄN</t>
        </is>
      </c>
      <c r="G191" t="inlineStr">
        <is>
          <t>OLOFSTRÖM</t>
        </is>
      </c>
      <c r="I191" t="n">
        <v>3.9</v>
      </c>
      <c r="J191" t="n">
        <v>0</v>
      </c>
      <c r="K191" t="n">
        <v>0</v>
      </c>
      <c r="L191" t="n">
        <v>0</v>
      </c>
      <c r="M191" t="n">
        <v>0</v>
      </c>
      <c r="N191" t="n">
        <v>0</v>
      </c>
      <c r="O191" t="n">
        <v>0</v>
      </c>
      <c r="P191" t="n">
        <v>0</v>
      </c>
      <c r="Q191" t="n">
        <v>0</v>
      </c>
      <c r="R191" t="n">
        <v>0</v>
      </c>
      <c r="S191" t="n">
        <v>0</v>
      </c>
      <c r="T191" t="n">
        <v>0</v>
      </c>
      <c r="U191" s="2" t="inlineStr"/>
    </row>
    <row r="192" ht="15" customHeight="1">
      <c r="A192" t="inlineStr">
        <is>
          <t>A 63441-2023</t>
        </is>
      </c>
      <c r="B192" t="inlineStr">
        <is>
          <t>avverkningsanmälan</t>
        </is>
      </c>
      <c r="C192" t="inlineStr">
        <is>
          <t>Föryngringsavverkning</t>
        </is>
      </c>
      <c r="D192" s="1" t="n">
        <v>45274</v>
      </c>
      <c r="E192" s="1" t="n">
        <v>46216</v>
      </c>
      <c r="F192" t="inlineStr">
        <is>
          <t>BLEKINGE LÄN</t>
        </is>
      </c>
      <c r="G192" t="inlineStr">
        <is>
          <t>OLOFSTRÖM</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49704-2021</t>
        </is>
      </c>
      <c r="B193" t="inlineStr">
        <is>
          <t>avverkningsanmälan</t>
        </is>
      </c>
      <c r="C193" t="inlineStr">
        <is>
          <t>Föryngringsavverkning</t>
        </is>
      </c>
      <c r="D193" s="1" t="n">
        <v>44455</v>
      </c>
      <c r="E193" s="1" t="n">
        <v>46216</v>
      </c>
      <c r="F193" t="inlineStr">
        <is>
          <t>BLEKINGE LÄN</t>
        </is>
      </c>
      <c r="G193" t="inlineStr">
        <is>
          <t>OLOFSTRÖM</t>
        </is>
      </c>
      <c r="I193" t="n">
        <v>8.199999999999999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59248-2025</t>
        </is>
      </c>
      <c r="B194" t="inlineStr">
        <is>
          <t>avverkningsanmälan</t>
        </is>
      </c>
      <c r="C194" t="inlineStr">
        <is>
          <t>Föryngringsavverkning</t>
        </is>
      </c>
      <c r="D194" s="1" t="n">
        <v>45988</v>
      </c>
      <c r="E194" s="1" t="n">
        <v>46216</v>
      </c>
      <c r="F194" t="inlineStr">
        <is>
          <t>BLEKINGE LÄN</t>
        </is>
      </c>
      <c r="G194" t="inlineStr">
        <is>
          <t>OLOFSTRÖM</t>
        </is>
      </c>
      <c r="I194" t="n">
        <v>3.1</v>
      </c>
      <c r="J194" t="n">
        <v>0</v>
      </c>
      <c r="K194" t="n">
        <v>0</v>
      </c>
      <c r="L194" t="n">
        <v>0</v>
      </c>
      <c r="M194" t="n">
        <v>0</v>
      </c>
      <c r="N194" t="n">
        <v>0</v>
      </c>
      <c r="O194" t="n">
        <v>0</v>
      </c>
      <c r="P194" t="n">
        <v>0</v>
      </c>
      <c r="Q194" t="n">
        <v>0</v>
      </c>
      <c r="R194" t="n">
        <v>0</v>
      </c>
      <c r="S194" t="n">
        <v>0</v>
      </c>
      <c r="T194" t="n">
        <v>0</v>
      </c>
      <c r="U194" s="2" t="inlineStr"/>
    </row>
    <row r="195" ht="15" customHeight="1">
      <c r="A195" t="inlineStr">
        <is>
          <t>A 8428-2026</t>
        </is>
      </c>
      <c r="B195" t="inlineStr">
        <is>
          <t>avverkningsanmälan</t>
        </is>
      </c>
      <c r="C195" t="inlineStr">
        <is>
          <t>Föryngringsavverkning</t>
        </is>
      </c>
      <c r="D195" s="1" t="n">
        <v>46065</v>
      </c>
      <c r="E195" s="1" t="n">
        <v>46216</v>
      </c>
      <c r="F195" t="inlineStr">
        <is>
          <t>BLEKINGE LÄN</t>
        </is>
      </c>
      <c r="G195" t="inlineStr">
        <is>
          <t>OLOFSTRÖM</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59249-2025</t>
        </is>
      </c>
      <c r="B196" t="inlineStr">
        <is>
          <t>avverkningsanmälan</t>
        </is>
      </c>
      <c r="C196" t="inlineStr">
        <is>
          <t>Föryngringsavverkning</t>
        </is>
      </c>
      <c r="D196" s="1" t="n">
        <v>45988</v>
      </c>
      <c r="E196" s="1" t="n">
        <v>46216</v>
      </c>
      <c r="F196" t="inlineStr">
        <is>
          <t>BLEKINGE LÄN</t>
        </is>
      </c>
      <c r="G196" t="inlineStr">
        <is>
          <t>OLOFSTRÖM</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39876-2023</t>
        </is>
      </c>
      <c r="B197" t="inlineStr">
        <is>
          <t>avverkningsanmälan</t>
        </is>
      </c>
      <c r="C197" t="inlineStr">
        <is>
          <t>Föryngringsavverkning</t>
        </is>
      </c>
      <c r="D197" s="1" t="n">
        <v>45166</v>
      </c>
      <c r="E197" s="1" t="n">
        <v>46216</v>
      </c>
      <c r="F197" t="inlineStr">
        <is>
          <t>BLEKINGE LÄN</t>
        </is>
      </c>
      <c r="G197" t="inlineStr">
        <is>
          <t>OLOFSTRÖM</t>
        </is>
      </c>
      <c r="I197" t="n">
        <v>2.1</v>
      </c>
      <c r="J197" t="n">
        <v>0</v>
      </c>
      <c r="K197" t="n">
        <v>0</v>
      </c>
      <c r="L197" t="n">
        <v>0</v>
      </c>
      <c r="M197" t="n">
        <v>0</v>
      </c>
      <c r="N197" t="n">
        <v>0</v>
      </c>
      <c r="O197" t="n">
        <v>0</v>
      </c>
      <c r="P197" t="n">
        <v>0</v>
      </c>
      <c r="Q197" t="n">
        <v>0</v>
      </c>
      <c r="R197" t="n">
        <v>0</v>
      </c>
      <c r="S197" t="n">
        <v>0</v>
      </c>
      <c r="T197" t="n">
        <v>0</v>
      </c>
      <c r="U197" s="2" t="inlineStr"/>
    </row>
    <row r="198" ht="15" customHeight="1">
      <c r="A198" t="inlineStr">
        <is>
          <t>A 50412-2022</t>
        </is>
      </c>
      <c r="B198" t="inlineStr">
        <is>
          <t>avverkningsanmälan</t>
        </is>
      </c>
      <c r="C198" t="inlineStr">
        <is>
          <t>Föryngringsavverkning</t>
        </is>
      </c>
      <c r="D198" s="1" t="n">
        <v>44866</v>
      </c>
      <c r="E198" s="1" t="n">
        <v>46216</v>
      </c>
      <c r="F198" t="inlineStr">
        <is>
          <t>BLEKINGE LÄN</t>
        </is>
      </c>
      <c r="G198" t="inlineStr">
        <is>
          <t>OLOFSTRÖM</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7810-2026</t>
        </is>
      </c>
      <c r="B199" t="inlineStr">
        <is>
          <t>avverkningsanmälan</t>
        </is>
      </c>
      <c r="C199" t="inlineStr">
        <is>
          <t>Föryngringsavverkning</t>
        </is>
      </c>
      <c r="D199" s="1" t="n">
        <v>46059</v>
      </c>
      <c r="E199" s="1" t="n">
        <v>46216</v>
      </c>
      <c r="F199" t="inlineStr">
        <is>
          <t>BLEKINGE LÄN</t>
        </is>
      </c>
      <c r="G199" t="inlineStr">
        <is>
          <t>OLOFSTRÖM</t>
        </is>
      </c>
      <c r="I199" t="n">
        <v>16.2</v>
      </c>
      <c r="J199" t="n">
        <v>0</v>
      </c>
      <c r="K199" t="n">
        <v>0</v>
      </c>
      <c r="L199" t="n">
        <v>0</v>
      </c>
      <c r="M199" t="n">
        <v>0</v>
      </c>
      <c r="N199" t="n">
        <v>0</v>
      </c>
      <c r="O199" t="n">
        <v>0</v>
      </c>
      <c r="P199" t="n">
        <v>0</v>
      </c>
      <c r="Q199" t="n">
        <v>0</v>
      </c>
      <c r="R199" t="n">
        <v>0</v>
      </c>
      <c r="S199" t="n">
        <v>0</v>
      </c>
      <c r="T199" t="n">
        <v>0</v>
      </c>
      <c r="U199" s="2" t="inlineStr"/>
    </row>
    <row r="200" ht="15" customHeight="1">
      <c r="A200" t="inlineStr">
        <is>
          <t>A 14437-2023</t>
        </is>
      </c>
      <c r="B200" t="inlineStr">
        <is>
          <t>avverkningsanmälan</t>
        </is>
      </c>
      <c r="C200" t="inlineStr">
        <is>
          <t>Föryngringsavverkning</t>
        </is>
      </c>
      <c r="D200" s="1" t="n">
        <v>45012</v>
      </c>
      <c r="E200" s="1" t="n">
        <v>46216</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21048-2022</t>
        </is>
      </c>
      <c r="B201" t="inlineStr">
        <is>
          <t>avverkningsanmälan</t>
        </is>
      </c>
      <c r="C201" t="inlineStr">
        <is>
          <t>Föryngringsavverkning</t>
        </is>
      </c>
      <c r="D201" s="1" t="n">
        <v>44704</v>
      </c>
      <c r="E201" s="1" t="n">
        <v>46216</v>
      </c>
      <c r="F201" t="inlineStr">
        <is>
          <t>BLEKINGE LÄN</t>
        </is>
      </c>
      <c r="G201" t="inlineStr">
        <is>
          <t>OLOFSTRÖM</t>
        </is>
      </c>
      <c r="H201" t="inlineStr">
        <is>
          <t>Övriga Aktiebolag</t>
        </is>
      </c>
      <c r="I201" t="n">
        <v>3.2</v>
      </c>
      <c r="J201" t="n">
        <v>0</v>
      </c>
      <c r="K201" t="n">
        <v>0</v>
      </c>
      <c r="L201" t="n">
        <v>0</v>
      </c>
      <c r="M201" t="n">
        <v>0</v>
      </c>
      <c r="N201" t="n">
        <v>0</v>
      </c>
      <c r="O201" t="n">
        <v>0</v>
      </c>
      <c r="P201" t="n">
        <v>0</v>
      </c>
      <c r="Q201" t="n">
        <v>0</v>
      </c>
      <c r="R201" t="n">
        <v>0</v>
      </c>
      <c r="S201" t="n">
        <v>0</v>
      </c>
      <c r="T201" t="n">
        <v>0</v>
      </c>
      <c r="U201" s="2" t="inlineStr"/>
    </row>
    <row r="202" ht="15" customHeight="1">
      <c r="A202" t="inlineStr">
        <is>
          <t>A 7757-2026</t>
        </is>
      </c>
      <c r="B202" t="inlineStr">
        <is>
          <t>avverkningsanmälan</t>
        </is>
      </c>
      <c r="C202" t="inlineStr">
        <is>
          <t>Föryngringsavverkning</t>
        </is>
      </c>
      <c r="D202" s="1" t="n">
        <v>46059</v>
      </c>
      <c r="E202" s="1" t="n">
        <v>46216</v>
      </c>
      <c r="F202" t="inlineStr">
        <is>
          <t>BLEKINGE LÄN</t>
        </is>
      </c>
      <c r="G202" t="inlineStr">
        <is>
          <t>OLOFSTRÖM</t>
        </is>
      </c>
      <c r="I202" t="n">
        <v>7</v>
      </c>
      <c r="J202" t="n">
        <v>0</v>
      </c>
      <c r="K202" t="n">
        <v>0</v>
      </c>
      <c r="L202" t="n">
        <v>0</v>
      </c>
      <c r="M202" t="n">
        <v>0</v>
      </c>
      <c r="N202" t="n">
        <v>0</v>
      </c>
      <c r="O202" t="n">
        <v>0</v>
      </c>
      <c r="P202" t="n">
        <v>0</v>
      </c>
      <c r="Q202" t="n">
        <v>0</v>
      </c>
      <c r="R202" t="n">
        <v>0</v>
      </c>
      <c r="S202" t="n">
        <v>0</v>
      </c>
      <c r="T202" t="n">
        <v>0</v>
      </c>
      <c r="U202" s="2" t="inlineStr"/>
    </row>
    <row r="203" ht="15" customHeight="1">
      <c r="A203" t="inlineStr">
        <is>
          <t>A 9291-2026</t>
        </is>
      </c>
      <c r="B203" t="inlineStr">
        <is>
          <t>avverkningsanmälan</t>
        </is>
      </c>
      <c r="C203" t="inlineStr">
        <is>
          <t>Föryngringsavverkning</t>
        </is>
      </c>
      <c r="D203" s="1" t="n">
        <v>46070</v>
      </c>
      <c r="E203" s="1" t="n">
        <v>46216</v>
      </c>
      <c r="F203" t="inlineStr">
        <is>
          <t>BLEKINGE LÄN</t>
        </is>
      </c>
      <c r="G203" t="inlineStr">
        <is>
          <t>OLOFSTRÖM</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9279-2026</t>
        </is>
      </c>
      <c r="B204" t="inlineStr">
        <is>
          <t>avverkningsanmälan</t>
        </is>
      </c>
      <c r="C204" t="inlineStr">
        <is>
          <t>Föryngringsavverkning</t>
        </is>
      </c>
      <c r="D204" s="1" t="n">
        <v>46070</v>
      </c>
      <c r="E204" s="1" t="n">
        <v>46216</v>
      </c>
      <c r="F204" t="inlineStr">
        <is>
          <t>BLEKINGE LÄN</t>
        </is>
      </c>
      <c r="G204" t="inlineStr">
        <is>
          <t>OLOFSTRÖM</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9309-2026</t>
        </is>
      </c>
      <c r="B205" t="inlineStr">
        <is>
          <t>avverkningsanmälan</t>
        </is>
      </c>
      <c r="C205" t="inlineStr">
        <is>
          <t>Föryngringsavverkning</t>
        </is>
      </c>
      <c r="D205" s="1" t="n">
        <v>46070</v>
      </c>
      <c r="E205" s="1" t="n">
        <v>46216</v>
      </c>
      <c r="F205" t="inlineStr">
        <is>
          <t>BLEKINGE LÄN</t>
        </is>
      </c>
      <c r="G205" t="inlineStr">
        <is>
          <t>OLOFSTRÖM</t>
        </is>
      </c>
      <c r="I205" t="n">
        <v>2.7</v>
      </c>
      <c r="J205" t="n">
        <v>0</v>
      </c>
      <c r="K205" t="n">
        <v>0</v>
      </c>
      <c r="L205" t="n">
        <v>0</v>
      </c>
      <c r="M205" t="n">
        <v>0</v>
      </c>
      <c r="N205" t="n">
        <v>0</v>
      </c>
      <c r="O205" t="n">
        <v>0</v>
      </c>
      <c r="P205" t="n">
        <v>0</v>
      </c>
      <c r="Q205" t="n">
        <v>0</v>
      </c>
      <c r="R205" t="n">
        <v>0</v>
      </c>
      <c r="S205" t="n">
        <v>0</v>
      </c>
      <c r="T205" t="n">
        <v>0</v>
      </c>
      <c r="U205" s="2" t="inlineStr"/>
    </row>
    <row r="206" ht="15" customHeight="1">
      <c r="A206" t="inlineStr">
        <is>
          <t>A 11062-2025</t>
        </is>
      </c>
      <c r="B206" t="inlineStr">
        <is>
          <t>avverkningsanmälan</t>
        </is>
      </c>
      <c r="C206" t="inlineStr">
        <is>
          <t>Föryngringsavverkning</t>
        </is>
      </c>
      <c r="D206" s="1" t="n">
        <v>45723</v>
      </c>
      <c r="E206" s="1" t="n">
        <v>46216</v>
      </c>
      <c r="F206" t="inlineStr">
        <is>
          <t>BLEKINGE LÄN</t>
        </is>
      </c>
      <c r="G206" t="inlineStr">
        <is>
          <t>OLOFSTRÖM</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39520-2024</t>
        </is>
      </c>
      <c r="B207" t="inlineStr">
        <is>
          <t>avverkningsanmälan</t>
        </is>
      </c>
      <c r="C207" t="inlineStr">
        <is>
          <t>Föryngringsavverkning</t>
        </is>
      </c>
      <c r="D207" s="1" t="n">
        <v>45551</v>
      </c>
      <c r="E207" s="1" t="n">
        <v>46216</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1028-2023</t>
        </is>
      </c>
      <c r="B208" t="inlineStr">
        <is>
          <t>avverkningsanmälan</t>
        </is>
      </c>
      <c r="C208" t="inlineStr">
        <is>
          <t>Föryngringsavverkning</t>
        </is>
      </c>
      <c r="D208" s="1" t="n">
        <v>44935</v>
      </c>
      <c r="E208" s="1" t="n">
        <v>46216</v>
      </c>
      <c r="F208" t="inlineStr">
        <is>
          <t>BLEKINGE LÄN</t>
        </is>
      </c>
      <c r="G208" t="inlineStr">
        <is>
          <t>OLOFSTRÖM</t>
        </is>
      </c>
      <c r="I208" t="n">
        <v>5.4</v>
      </c>
      <c r="J208" t="n">
        <v>0</v>
      </c>
      <c r="K208" t="n">
        <v>0</v>
      </c>
      <c r="L208" t="n">
        <v>0</v>
      </c>
      <c r="M208" t="n">
        <v>0</v>
      </c>
      <c r="N208" t="n">
        <v>0</v>
      </c>
      <c r="O208" t="n">
        <v>0</v>
      </c>
      <c r="P208" t="n">
        <v>0</v>
      </c>
      <c r="Q208" t="n">
        <v>0</v>
      </c>
      <c r="R208" t="n">
        <v>0</v>
      </c>
      <c r="S208" t="n">
        <v>0</v>
      </c>
      <c r="T208" t="n">
        <v>0</v>
      </c>
      <c r="U208" s="2" t="inlineStr"/>
    </row>
    <row r="209" ht="15" customHeight="1">
      <c r="A209" t="inlineStr">
        <is>
          <t>A 11122-2024</t>
        </is>
      </c>
      <c r="B209" t="inlineStr">
        <is>
          <t>avverkningsanmälan</t>
        </is>
      </c>
      <c r="C209" t="inlineStr">
        <is>
          <t>Föryngringsavverkning</t>
        </is>
      </c>
      <c r="D209" s="1" t="n">
        <v>45371</v>
      </c>
      <c r="E209" s="1" t="n">
        <v>46216</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10701-2026</t>
        </is>
      </c>
      <c r="B210" t="inlineStr">
        <is>
          <t>avverkningsanmälan</t>
        </is>
      </c>
      <c r="C210" t="inlineStr">
        <is>
          <t>Föryngringsavverkning</t>
        </is>
      </c>
      <c r="D210" s="1" t="n">
        <v>46078</v>
      </c>
      <c r="E210" s="1" t="n">
        <v>46216</v>
      </c>
      <c r="F210" t="inlineStr">
        <is>
          <t>BLEKINGE LÄN</t>
        </is>
      </c>
      <c r="G210" t="inlineStr">
        <is>
          <t>OLOFSTRÖM</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7862-2025</t>
        </is>
      </c>
      <c r="B211" t="inlineStr">
        <is>
          <t>avverkningsanmälan</t>
        </is>
      </c>
      <c r="C211" t="inlineStr">
        <is>
          <t>Föryngringsavverkning</t>
        </is>
      </c>
      <c r="D211" s="1" t="n">
        <v>45706</v>
      </c>
      <c r="E211" s="1" t="n">
        <v>46216</v>
      </c>
      <c r="F211" t="inlineStr">
        <is>
          <t>BLEKINGE LÄN</t>
        </is>
      </c>
      <c r="G211" t="inlineStr">
        <is>
          <t>OLOFSTRÖM</t>
        </is>
      </c>
      <c r="I211" t="n">
        <v>5.8</v>
      </c>
      <c r="J211" t="n">
        <v>0</v>
      </c>
      <c r="K211" t="n">
        <v>0</v>
      </c>
      <c r="L211" t="n">
        <v>0</v>
      </c>
      <c r="M211" t="n">
        <v>0</v>
      </c>
      <c r="N211" t="n">
        <v>0</v>
      </c>
      <c r="O211" t="n">
        <v>0</v>
      </c>
      <c r="P211" t="n">
        <v>0</v>
      </c>
      <c r="Q211" t="n">
        <v>0</v>
      </c>
      <c r="R211" t="n">
        <v>0</v>
      </c>
      <c r="S211" t="n">
        <v>0</v>
      </c>
      <c r="T211" t="n">
        <v>0</v>
      </c>
      <c r="U211" s="2" t="inlineStr"/>
    </row>
    <row r="212" ht="15" customHeight="1">
      <c r="A212" t="inlineStr">
        <is>
          <t>A 33664-2024</t>
        </is>
      </c>
      <c r="B212" t="inlineStr">
        <is>
          <t>avverkningsanmälan</t>
        </is>
      </c>
      <c r="C212" t="inlineStr">
        <is>
          <t>Föryngringsavverkning</t>
        </is>
      </c>
      <c r="D212" s="1" t="n">
        <v>45520</v>
      </c>
      <c r="E212" s="1" t="n">
        <v>46216</v>
      </c>
      <c r="F212" t="inlineStr">
        <is>
          <t>BLEKINGE LÄN</t>
        </is>
      </c>
      <c r="G212" t="inlineStr">
        <is>
          <t>OLOFSTRÖM</t>
        </is>
      </c>
      <c r="I212" t="n">
        <v>0.3</v>
      </c>
      <c r="J212" t="n">
        <v>0</v>
      </c>
      <c r="K212" t="n">
        <v>0</v>
      </c>
      <c r="L212" t="n">
        <v>0</v>
      </c>
      <c r="M212" t="n">
        <v>0</v>
      </c>
      <c r="N212" t="n">
        <v>0</v>
      </c>
      <c r="O212" t="n">
        <v>0</v>
      </c>
      <c r="P212" t="n">
        <v>0</v>
      </c>
      <c r="Q212" t="n">
        <v>0</v>
      </c>
      <c r="R212" t="n">
        <v>0</v>
      </c>
      <c r="S212" t="n">
        <v>0</v>
      </c>
      <c r="T212" t="n">
        <v>0</v>
      </c>
      <c r="U212" s="2" t="inlineStr"/>
    </row>
    <row r="213" ht="15" customHeight="1">
      <c r="A213" t="inlineStr">
        <is>
          <t>A 33673-2024</t>
        </is>
      </c>
      <c r="B213" t="inlineStr">
        <is>
          <t>avverkningsanmälan</t>
        </is>
      </c>
      <c r="C213" t="inlineStr">
        <is>
          <t>Föryngringsavverkning</t>
        </is>
      </c>
      <c r="D213" s="1" t="n">
        <v>45520</v>
      </c>
      <c r="E213" s="1" t="n">
        <v>46216</v>
      </c>
      <c r="F213" t="inlineStr">
        <is>
          <t>BLEKINGE LÄN</t>
        </is>
      </c>
      <c r="G213" t="inlineStr">
        <is>
          <t>OLOFSTRÖM</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63560-2025</t>
        </is>
      </c>
      <c r="B214" t="inlineStr">
        <is>
          <t>avverkningsanmälan</t>
        </is>
      </c>
      <c r="C214" t="inlineStr">
        <is>
          <t>Föryngringsavverkning</t>
        </is>
      </c>
      <c r="D214" s="1" t="n">
        <v>46013</v>
      </c>
      <c r="E214" s="1" t="n">
        <v>46216</v>
      </c>
      <c r="F214" t="inlineStr">
        <is>
          <t>BLEKINGE LÄN</t>
        </is>
      </c>
      <c r="G214" t="inlineStr">
        <is>
          <t>OLOFSTRÖM</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49056-2024</t>
        </is>
      </c>
      <c r="B215" t="inlineStr">
        <is>
          <t>avverkningsanmälan</t>
        </is>
      </c>
      <c r="C215" t="inlineStr">
        <is>
          <t>Föryngringsavverkning</t>
        </is>
      </c>
      <c r="D215" s="1" t="n">
        <v>45594</v>
      </c>
      <c r="E215" s="1" t="n">
        <v>46216</v>
      </c>
      <c r="F215" t="inlineStr">
        <is>
          <t>BLEKINGE LÄN</t>
        </is>
      </c>
      <c r="G215" t="inlineStr">
        <is>
          <t>OLOFSTRÖM</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11375-2026</t>
        </is>
      </c>
      <c r="B216" t="inlineStr">
        <is>
          <t>avverkningsanmälan</t>
        </is>
      </c>
      <c r="C216" t="inlineStr">
        <is>
          <t>Föryngringsavverkning</t>
        </is>
      </c>
      <c r="D216" s="1" t="n">
        <v>46083</v>
      </c>
      <c r="E216" s="1" t="n">
        <v>46216</v>
      </c>
      <c r="F216" t="inlineStr">
        <is>
          <t>BLEKINGE LÄN</t>
        </is>
      </c>
      <c r="G216" t="inlineStr">
        <is>
          <t>OLOFSTRÖM</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45772-2023</t>
        </is>
      </c>
      <c r="B217" t="inlineStr">
        <is>
          <t>avverkningsanmälan</t>
        </is>
      </c>
      <c r="C217" t="inlineStr">
        <is>
          <t>Föryngringsavverkning</t>
        </is>
      </c>
      <c r="D217" s="1" t="n">
        <v>45195</v>
      </c>
      <c r="E217" s="1" t="n">
        <v>46216</v>
      </c>
      <c r="F217" t="inlineStr">
        <is>
          <t>BLEKINGE LÄN</t>
        </is>
      </c>
      <c r="G217" t="inlineStr">
        <is>
          <t>OLOFSTRÖM</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49052-2024</t>
        </is>
      </c>
      <c r="B218" t="inlineStr">
        <is>
          <t>avverkningsanmälan</t>
        </is>
      </c>
      <c r="C218" t="inlineStr">
        <is>
          <t>Föryngringsavverkning</t>
        </is>
      </c>
      <c r="D218" s="1" t="n">
        <v>45594</v>
      </c>
      <c r="E218" s="1" t="n">
        <v>46216</v>
      </c>
      <c r="F218" t="inlineStr">
        <is>
          <t>BLEKINGE LÄN</t>
        </is>
      </c>
      <c r="G218" t="inlineStr">
        <is>
          <t>OLOFSTRÖM</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34163-2022</t>
        </is>
      </c>
      <c r="B219" t="inlineStr">
        <is>
          <t>avverkningsanmälan</t>
        </is>
      </c>
      <c r="C219" t="inlineStr">
        <is>
          <t>Avverkning för annat ändamål</t>
        </is>
      </c>
      <c r="D219" s="1" t="n">
        <v>44791</v>
      </c>
      <c r="E219" s="1" t="n">
        <v>46216</v>
      </c>
      <c r="F219" t="inlineStr">
        <is>
          <t>BLEKINGE LÄN</t>
        </is>
      </c>
      <c r="G219" t="inlineStr">
        <is>
          <t>OLOFSTRÖM</t>
        </is>
      </c>
      <c r="H219" t="inlineStr">
        <is>
          <t>Kommuner</t>
        </is>
      </c>
      <c r="I219" t="n">
        <v>8.300000000000001</v>
      </c>
      <c r="J219" t="n">
        <v>0</v>
      </c>
      <c r="K219" t="n">
        <v>0</v>
      </c>
      <c r="L219" t="n">
        <v>0</v>
      </c>
      <c r="M219" t="n">
        <v>0</v>
      </c>
      <c r="N219" t="n">
        <v>0</v>
      </c>
      <c r="O219" t="n">
        <v>0</v>
      </c>
      <c r="P219" t="n">
        <v>0</v>
      </c>
      <c r="Q219" t="n">
        <v>0</v>
      </c>
      <c r="R219" t="n">
        <v>0</v>
      </c>
      <c r="S219" t="n">
        <v>0</v>
      </c>
      <c r="T219" t="n">
        <v>0</v>
      </c>
      <c r="U219" s="2" t="inlineStr"/>
    </row>
    <row r="220" ht="15" customHeight="1">
      <c r="A220" t="inlineStr">
        <is>
          <t>A 16318-2024</t>
        </is>
      </c>
      <c r="B220" t="inlineStr">
        <is>
          <t>avverkningsanmälan</t>
        </is>
      </c>
      <c r="C220" t="inlineStr">
        <is>
          <t>Föryngringsavverkning</t>
        </is>
      </c>
      <c r="D220" s="1" t="n">
        <v>45407</v>
      </c>
      <c r="E220" s="1" t="n">
        <v>46216</v>
      </c>
      <c r="F220" t="inlineStr">
        <is>
          <t>BLEKINGE LÄN</t>
        </is>
      </c>
      <c r="G220" t="inlineStr">
        <is>
          <t>OLOFSTRÖM</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247-2026</t>
        </is>
      </c>
      <c r="B221" t="inlineStr">
        <is>
          <t>avverkningsanmälan</t>
        </is>
      </c>
      <c r="C221" t="inlineStr">
        <is>
          <t>Föryngringsavverkning</t>
        </is>
      </c>
      <c r="D221" s="1" t="n">
        <v>46027</v>
      </c>
      <c r="E221" s="1" t="n">
        <v>46216</v>
      </c>
      <c r="F221" t="inlineStr">
        <is>
          <t>BLEKINGE LÄN</t>
        </is>
      </c>
      <c r="G221" t="inlineStr">
        <is>
          <t>OLOFSTRÖM</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248-2026</t>
        </is>
      </c>
      <c r="B222" t="inlineStr">
        <is>
          <t>avverkningsanmälan</t>
        </is>
      </c>
      <c r="C222" t="inlineStr">
        <is>
          <t>Föryngringsavverkning</t>
        </is>
      </c>
      <c r="D222" s="1" t="n">
        <v>46027</v>
      </c>
      <c r="E222" s="1" t="n">
        <v>46216</v>
      </c>
      <c r="F222" t="inlineStr">
        <is>
          <t>BLEKINGE LÄN</t>
        </is>
      </c>
      <c r="G222" t="inlineStr">
        <is>
          <t>OLOFSTRÖM</t>
        </is>
      </c>
      <c r="I222" t="n">
        <v>3.7</v>
      </c>
      <c r="J222" t="n">
        <v>0</v>
      </c>
      <c r="K222" t="n">
        <v>0</v>
      </c>
      <c r="L222" t="n">
        <v>0</v>
      </c>
      <c r="M222" t="n">
        <v>0</v>
      </c>
      <c r="N222" t="n">
        <v>0</v>
      </c>
      <c r="O222" t="n">
        <v>0</v>
      </c>
      <c r="P222" t="n">
        <v>0</v>
      </c>
      <c r="Q222" t="n">
        <v>0</v>
      </c>
      <c r="R222" t="n">
        <v>0</v>
      </c>
      <c r="S222" t="n">
        <v>0</v>
      </c>
      <c r="T222" t="n">
        <v>0</v>
      </c>
      <c r="U222" s="2" t="inlineStr"/>
    </row>
    <row r="223" ht="15" customHeight="1">
      <c r="A223" t="inlineStr">
        <is>
          <t>A 50870-2024</t>
        </is>
      </c>
      <c r="B223" t="inlineStr">
        <is>
          <t>avverkningsanmälan</t>
        </is>
      </c>
      <c r="C223" t="inlineStr">
        <is>
          <t>Föryngringsavverkning</t>
        </is>
      </c>
      <c r="D223" s="1" t="n">
        <v>45602</v>
      </c>
      <c r="E223" s="1" t="n">
        <v>46216</v>
      </c>
      <c r="F223" t="inlineStr">
        <is>
          <t>BLEKINGE LÄN</t>
        </is>
      </c>
      <c r="G223" t="inlineStr">
        <is>
          <t>OLOFSTRÖM</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38088-2022</t>
        </is>
      </c>
      <c r="B224" t="inlineStr">
        <is>
          <t>avverkningsanmälan</t>
        </is>
      </c>
      <c r="C224" t="inlineStr">
        <is>
          <t>Föryngringsavverkning</t>
        </is>
      </c>
      <c r="D224" s="1" t="n">
        <v>44811</v>
      </c>
      <c r="E224" s="1" t="n">
        <v>46216</v>
      </c>
      <c r="F224" t="inlineStr">
        <is>
          <t>BLEKINGE LÄN</t>
        </is>
      </c>
      <c r="G224" t="inlineStr">
        <is>
          <t>OLOFSTRÖM</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13660-2023</t>
        </is>
      </c>
      <c r="B225" t="inlineStr">
        <is>
          <t>avverkningsanmälan</t>
        </is>
      </c>
      <c r="C225" t="inlineStr">
        <is>
          <t>Föryngringsavverkning</t>
        </is>
      </c>
      <c r="D225" s="1" t="n">
        <v>45006</v>
      </c>
      <c r="E225" s="1" t="n">
        <v>46216</v>
      </c>
      <c r="F225" t="inlineStr">
        <is>
          <t>BLEKINGE LÄN</t>
        </is>
      </c>
      <c r="G225" t="inlineStr">
        <is>
          <t>OLOFSTRÖM</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30657-2023</t>
        </is>
      </c>
      <c r="B226" t="inlineStr">
        <is>
          <t>avverkningsanmälan</t>
        </is>
      </c>
      <c r="C226" t="inlineStr">
        <is>
          <t>Föryngringsavverkning</t>
        </is>
      </c>
      <c r="D226" s="1" t="n">
        <v>45112</v>
      </c>
      <c r="E226" s="1" t="n">
        <v>46216</v>
      </c>
      <c r="F226" t="inlineStr">
        <is>
          <t>BLEKINGE LÄN</t>
        </is>
      </c>
      <c r="G226" t="inlineStr">
        <is>
          <t>OLOFSTRÖM</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62728-2023</t>
        </is>
      </c>
      <c r="B227" t="inlineStr">
        <is>
          <t>avverkningsanmälan</t>
        </is>
      </c>
      <c r="C227" t="inlineStr">
        <is>
          <t>Föryngringsavverkning</t>
        </is>
      </c>
      <c r="D227" s="1" t="n">
        <v>45268</v>
      </c>
      <c r="E227" s="1" t="n">
        <v>46216</v>
      </c>
      <c r="F227" t="inlineStr">
        <is>
          <t>BLEKINGE LÄN</t>
        </is>
      </c>
      <c r="G227" t="inlineStr">
        <is>
          <t>OLOFSTRÖM</t>
        </is>
      </c>
      <c r="H227" t="inlineStr">
        <is>
          <t>Övriga Aktiebolag</t>
        </is>
      </c>
      <c r="I227" t="n">
        <v>3.3</v>
      </c>
      <c r="J227" t="n">
        <v>0</v>
      </c>
      <c r="K227" t="n">
        <v>0</v>
      </c>
      <c r="L227" t="n">
        <v>0</v>
      </c>
      <c r="M227" t="n">
        <v>0</v>
      </c>
      <c r="N227" t="n">
        <v>0</v>
      </c>
      <c r="O227" t="n">
        <v>0</v>
      </c>
      <c r="P227" t="n">
        <v>0</v>
      </c>
      <c r="Q227" t="n">
        <v>0</v>
      </c>
      <c r="R227" t="n">
        <v>0</v>
      </c>
      <c r="S227" t="n">
        <v>0</v>
      </c>
      <c r="T227" t="n">
        <v>0</v>
      </c>
      <c r="U227" s="2" t="inlineStr"/>
    </row>
    <row r="228" ht="15" customHeight="1">
      <c r="A228" t="inlineStr">
        <is>
          <t>A 444-2023</t>
        </is>
      </c>
      <c r="B228" t="inlineStr">
        <is>
          <t>avverkningsanmälan</t>
        </is>
      </c>
      <c r="C228" t="inlineStr">
        <is>
          <t>Föryngringsavverkning</t>
        </is>
      </c>
      <c r="D228" s="1" t="n">
        <v>44929</v>
      </c>
      <c r="E228" s="1" t="n">
        <v>46216</v>
      </c>
      <c r="F228" t="inlineStr">
        <is>
          <t>BLEKINGE LÄN</t>
        </is>
      </c>
      <c r="G228" t="inlineStr">
        <is>
          <t>OLOFSTRÖM</t>
        </is>
      </c>
      <c r="I228" t="n">
        <v>4.2</v>
      </c>
      <c r="J228" t="n">
        <v>0</v>
      </c>
      <c r="K228" t="n">
        <v>0</v>
      </c>
      <c r="L228" t="n">
        <v>0</v>
      </c>
      <c r="M228" t="n">
        <v>0</v>
      </c>
      <c r="N228" t="n">
        <v>0</v>
      </c>
      <c r="O228" t="n">
        <v>0</v>
      </c>
      <c r="P228" t="n">
        <v>0</v>
      </c>
      <c r="Q228" t="n">
        <v>0</v>
      </c>
      <c r="R228" t="n">
        <v>0</v>
      </c>
      <c r="S228" t="n">
        <v>0</v>
      </c>
      <c r="T228" t="n">
        <v>0</v>
      </c>
      <c r="U228" s="2" t="inlineStr"/>
    </row>
    <row r="229" ht="15" customHeight="1">
      <c r="A229" t="inlineStr">
        <is>
          <t>A 6523-2024</t>
        </is>
      </c>
      <c r="B229" t="inlineStr">
        <is>
          <t>avverkningsanmälan</t>
        </is>
      </c>
      <c r="C229" t="inlineStr">
        <is>
          <t>Föryngringsavverkning</t>
        </is>
      </c>
      <c r="D229" s="1" t="n">
        <v>45341</v>
      </c>
      <c r="E229" s="1" t="n">
        <v>46216</v>
      </c>
      <c r="F229" t="inlineStr">
        <is>
          <t>BLEKINGE LÄN</t>
        </is>
      </c>
      <c r="G229" t="inlineStr">
        <is>
          <t>OLOFSTRÖM</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13758-2026</t>
        </is>
      </c>
      <c r="B230" t="inlineStr">
        <is>
          <t>avverkningsanmälan</t>
        </is>
      </c>
      <c r="C230" t="inlineStr">
        <is>
          <t>Föryngringsavverkning</t>
        </is>
      </c>
      <c r="D230" s="1" t="n">
        <v>46097</v>
      </c>
      <c r="E230" s="1" t="n">
        <v>46216</v>
      </c>
      <c r="F230" t="inlineStr">
        <is>
          <t>BLEKINGE LÄN</t>
        </is>
      </c>
      <c r="G230" t="inlineStr">
        <is>
          <t>OLOFSTRÖM</t>
        </is>
      </c>
      <c r="H230" t="inlineStr">
        <is>
          <t>Övriga Aktiebolag</t>
        </is>
      </c>
      <c r="I230" t="n">
        <v>2.2</v>
      </c>
      <c r="J230" t="n">
        <v>0</v>
      </c>
      <c r="K230" t="n">
        <v>0</v>
      </c>
      <c r="L230" t="n">
        <v>0</v>
      </c>
      <c r="M230" t="n">
        <v>0</v>
      </c>
      <c r="N230" t="n">
        <v>0</v>
      </c>
      <c r="O230" t="n">
        <v>0</v>
      </c>
      <c r="P230" t="n">
        <v>0</v>
      </c>
      <c r="Q230" t="n">
        <v>0</v>
      </c>
      <c r="R230" t="n">
        <v>0</v>
      </c>
      <c r="S230" t="n">
        <v>0</v>
      </c>
      <c r="T230" t="n">
        <v>0</v>
      </c>
      <c r="U230" s="2" t="inlineStr"/>
    </row>
    <row r="231" ht="15" customHeight="1">
      <c r="A231" t="inlineStr">
        <is>
          <t>A 39050-2024</t>
        </is>
      </c>
      <c r="B231" t="inlineStr">
        <is>
          <t>avverkningsanmälan</t>
        </is>
      </c>
      <c r="C231" t="inlineStr">
        <is>
          <t>Föryngringsavverkning</t>
        </is>
      </c>
      <c r="D231" s="1" t="n">
        <v>45548</v>
      </c>
      <c r="E231" s="1" t="n">
        <v>46216</v>
      </c>
      <c r="F231" t="inlineStr">
        <is>
          <t>BLEKINGE LÄN</t>
        </is>
      </c>
      <c r="G231" t="inlineStr">
        <is>
          <t>OLOFSTRÖM</t>
        </is>
      </c>
      <c r="I231" t="n">
        <v>3.2</v>
      </c>
      <c r="J231" t="n">
        <v>0</v>
      </c>
      <c r="K231" t="n">
        <v>0</v>
      </c>
      <c r="L231" t="n">
        <v>0</v>
      </c>
      <c r="M231" t="n">
        <v>0</v>
      </c>
      <c r="N231" t="n">
        <v>0</v>
      </c>
      <c r="O231" t="n">
        <v>0</v>
      </c>
      <c r="P231" t="n">
        <v>0</v>
      </c>
      <c r="Q231" t="n">
        <v>0</v>
      </c>
      <c r="R231" t="n">
        <v>0</v>
      </c>
      <c r="S231" t="n">
        <v>0</v>
      </c>
      <c r="T231" t="n">
        <v>0</v>
      </c>
      <c r="U231" s="2" t="inlineStr"/>
    </row>
    <row r="232" ht="15" customHeight="1">
      <c r="A232" t="inlineStr">
        <is>
          <t>A 39077-2024</t>
        </is>
      </c>
      <c r="B232" t="inlineStr">
        <is>
          <t>avverkningsanmälan</t>
        </is>
      </c>
      <c r="C232" t="inlineStr">
        <is>
          <t>Föryngringsavverkning</t>
        </is>
      </c>
      <c r="D232" s="1" t="n">
        <v>45548</v>
      </c>
      <c r="E232" s="1" t="n">
        <v>46216</v>
      </c>
      <c r="F232" t="inlineStr">
        <is>
          <t>BLEKINGE LÄN</t>
        </is>
      </c>
      <c r="G232" t="inlineStr">
        <is>
          <t>OLOFSTRÖM</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14311-2023</t>
        </is>
      </c>
      <c r="B233" t="inlineStr">
        <is>
          <t>avverkningsanmälan</t>
        </is>
      </c>
      <c r="C233" t="inlineStr">
        <is>
          <t>Föryngringsavverkning</t>
        </is>
      </c>
      <c r="D233" s="1" t="n">
        <v>45011</v>
      </c>
      <c r="E233" s="1" t="n">
        <v>46216</v>
      </c>
      <c r="F233" t="inlineStr">
        <is>
          <t>BLEKINGE LÄN</t>
        </is>
      </c>
      <c r="G233" t="inlineStr">
        <is>
          <t>OLOFSTRÖM</t>
        </is>
      </c>
      <c r="I233" t="n">
        <v>2.7</v>
      </c>
      <c r="J233" t="n">
        <v>0</v>
      </c>
      <c r="K233" t="n">
        <v>0</v>
      </c>
      <c r="L233" t="n">
        <v>0</v>
      </c>
      <c r="M233" t="n">
        <v>0</v>
      </c>
      <c r="N233" t="n">
        <v>0</v>
      </c>
      <c r="O233" t="n">
        <v>0</v>
      </c>
      <c r="P233" t="n">
        <v>0</v>
      </c>
      <c r="Q233" t="n">
        <v>0</v>
      </c>
      <c r="R233" t="n">
        <v>0</v>
      </c>
      <c r="S233" t="n">
        <v>0</v>
      </c>
      <c r="T233" t="n">
        <v>0</v>
      </c>
      <c r="U233" s="2" t="inlineStr"/>
    </row>
    <row r="234" ht="15" customHeight="1">
      <c r="A234" t="inlineStr">
        <is>
          <t>A 42635-2024</t>
        </is>
      </c>
      <c r="B234" t="inlineStr">
        <is>
          <t>avverkningsanmälan</t>
        </is>
      </c>
      <c r="C234" t="inlineStr">
        <is>
          <t>Föryngringsavverkning</t>
        </is>
      </c>
      <c r="D234" s="1" t="n">
        <v>45565</v>
      </c>
      <c r="E234" s="1" t="n">
        <v>46216</v>
      </c>
      <c r="F234" t="inlineStr">
        <is>
          <t>BLEKINGE LÄN</t>
        </is>
      </c>
      <c r="G234" t="inlineStr">
        <is>
          <t>OLOFSTRÖM</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14904-2026</t>
        </is>
      </c>
      <c r="B235" t="inlineStr">
        <is>
          <t>avverkningsanmälan</t>
        </is>
      </c>
      <c r="C235" t="inlineStr">
        <is>
          <t>Föryngringsavverkning</t>
        </is>
      </c>
      <c r="D235" s="1" t="n">
        <v>46104</v>
      </c>
      <c r="E235" s="1" t="n">
        <v>46216</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15688-2026</t>
        </is>
      </c>
      <c r="B236" t="inlineStr">
        <is>
          <t>avverkningsanmälan</t>
        </is>
      </c>
      <c r="C236" t="inlineStr">
        <is>
          <t>Föryngringsavverkning</t>
        </is>
      </c>
      <c r="D236" s="1" t="n">
        <v>46106</v>
      </c>
      <c r="E236" s="1" t="n">
        <v>46216</v>
      </c>
      <c r="F236" t="inlineStr">
        <is>
          <t>BLEKINGE LÄN</t>
        </is>
      </c>
      <c r="G236" t="inlineStr">
        <is>
          <t>OLOFSTRÖM</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9288-2026</t>
        </is>
      </c>
      <c r="B237" t="inlineStr">
        <is>
          <t>avverkningsanmälan</t>
        </is>
      </c>
      <c r="C237" t="inlineStr">
        <is>
          <t>Föryngringsavverkning</t>
        </is>
      </c>
      <c r="D237" s="1" t="n">
        <v>46070</v>
      </c>
      <c r="E237" s="1" t="n">
        <v>46216</v>
      </c>
      <c r="F237" t="inlineStr">
        <is>
          <t>BLEKINGE LÄN</t>
        </is>
      </c>
      <c r="G237" t="inlineStr">
        <is>
          <t>OLOFSTRÖM</t>
        </is>
      </c>
      <c r="I237" t="n">
        <v>3</v>
      </c>
      <c r="J237" t="n">
        <v>0</v>
      </c>
      <c r="K237" t="n">
        <v>0</v>
      </c>
      <c r="L237" t="n">
        <v>0</v>
      </c>
      <c r="M237" t="n">
        <v>0</v>
      </c>
      <c r="N237" t="n">
        <v>0</v>
      </c>
      <c r="O237" t="n">
        <v>0</v>
      </c>
      <c r="P237" t="n">
        <v>0</v>
      </c>
      <c r="Q237" t="n">
        <v>0</v>
      </c>
      <c r="R237" t="n">
        <v>0</v>
      </c>
      <c r="S237" t="n">
        <v>0</v>
      </c>
      <c r="T237" t="n">
        <v>0</v>
      </c>
      <c r="U237" s="2" t="inlineStr"/>
    </row>
    <row r="238" ht="15" customHeight="1">
      <c r="A238" t="inlineStr">
        <is>
          <t>A 55421-2023</t>
        </is>
      </c>
      <c r="B238" t="inlineStr">
        <is>
          <t>avverkningsanmälan</t>
        </is>
      </c>
      <c r="C238" t="inlineStr">
        <is>
          <t>Föryngringsavverkning</t>
        </is>
      </c>
      <c r="D238" s="1" t="n">
        <v>45238</v>
      </c>
      <c r="E238" s="1" t="n">
        <v>46216</v>
      </c>
      <c r="F238" t="inlineStr">
        <is>
          <t>BLEKINGE LÄN</t>
        </is>
      </c>
      <c r="G238" t="inlineStr">
        <is>
          <t>OLOFSTRÖM</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53418-2022</t>
        </is>
      </c>
      <c r="B239" t="inlineStr">
        <is>
          <t>avverkningsanmälan</t>
        </is>
      </c>
      <c r="C239" t="inlineStr">
        <is>
          <t>Föryngringsavverkning</t>
        </is>
      </c>
      <c r="D239" s="1" t="n">
        <v>44879</v>
      </c>
      <c r="E239" s="1" t="n">
        <v>46216</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58305-2023</t>
        </is>
      </c>
      <c r="B240" t="inlineStr">
        <is>
          <t>avverkningsanmälan</t>
        </is>
      </c>
      <c r="C240" t="inlineStr">
        <is>
          <t>Föryngringsavverkning</t>
        </is>
      </c>
      <c r="D240" s="1" t="n">
        <v>45245</v>
      </c>
      <c r="E240" s="1" t="n">
        <v>46216</v>
      </c>
      <c r="F240" t="inlineStr">
        <is>
          <t>BLEKINGE LÄN</t>
        </is>
      </c>
      <c r="G240" t="inlineStr">
        <is>
          <t>OLOFSTRÖM</t>
        </is>
      </c>
      <c r="I240" t="n">
        <v>2.5</v>
      </c>
      <c r="J240" t="n">
        <v>0</v>
      </c>
      <c r="K240" t="n">
        <v>0</v>
      </c>
      <c r="L240" t="n">
        <v>0</v>
      </c>
      <c r="M240" t="n">
        <v>0</v>
      </c>
      <c r="N240" t="n">
        <v>0</v>
      </c>
      <c r="O240" t="n">
        <v>0</v>
      </c>
      <c r="P240" t="n">
        <v>0</v>
      </c>
      <c r="Q240" t="n">
        <v>0</v>
      </c>
      <c r="R240" t="n">
        <v>0</v>
      </c>
      <c r="S240" t="n">
        <v>0</v>
      </c>
      <c r="T240" t="n">
        <v>0</v>
      </c>
      <c r="U240" s="2" t="inlineStr"/>
    </row>
    <row r="241" ht="15" customHeight="1">
      <c r="A241" t="inlineStr">
        <is>
          <t>A 10327-2025</t>
        </is>
      </c>
      <c r="B241" t="inlineStr">
        <is>
          <t>avverkningsanmälan</t>
        </is>
      </c>
      <c r="C241" t="inlineStr">
        <is>
          <t>Föryngringsavverkning</t>
        </is>
      </c>
      <c r="D241" s="1" t="n">
        <v>45720</v>
      </c>
      <c r="E241" s="1" t="n">
        <v>46216</v>
      </c>
      <c r="F241" t="inlineStr">
        <is>
          <t>BLEKINGE LÄN</t>
        </is>
      </c>
      <c r="G241" t="inlineStr">
        <is>
          <t>OLOFSTRÖM</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62666-2023</t>
        </is>
      </c>
      <c r="B242" t="inlineStr">
        <is>
          <t>avverkningsanmälan</t>
        </is>
      </c>
      <c r="C242" t="inlineStr">
        <is>
          <t>Föryngringsavverkning</t>
        </is>
      </c>
      <c r="D242" s="1" t="n">
        <v>45271</v>
      </c>
      <c r="E242" s="1" t="n">
        <v>46216</v>
      </c>
      <c r="F242" t="inlineStr">
        <is>
          <t>BLEKINGE LÄN</t>
        </is>
      </c>
      <c r="G242" t="inlineStr">
        <is>
          <t>OLOFSTRÖM</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62672-2023</t>
        </is>
      </c>
      <c r="B243" t="inlineStr">
        <is>
          <t>avverkningsanmälan</t>
        </is>
      </c>
      <c r="C243" t="inlineStr">
        <is>
          <t>Föryngringsavverkning</t>
        </is>
      </c>
      <c r="D243" s="1" t="n">
        <v>45271</v>
      </c>
      <c r="E243" s="1" t="n">
        <v>46216</v>
      </c>
      <c r="F243" t="inlineStr">
        <is>
          <t>BLEKINGE LÄN</t>
        </is>
      </c>
      <c r="G243" t="inlineStr">
        <is>
          <t>OLOFSTRÖM</t>
        </is>
      </c>
      <c r="I243" t="n">
        <v>8.199999999999999</v>
      </c>
      <c r="J243" t="n">
        <v>0</v>
      </c>
      <c r="K243" t="n">
        <v>0</v>
      </c>
      <c r="L243" t="n">
        <v>0</v>
      </c>
      <c r="M243" t="n">
        <v>0</v>
      </c>
      <c r="N243" t="n">
        <v>0</v>
      </c>
      <c r="O243" t="n">
        <v>0</v>
      </c>
      <c r="P243" t="n">
        <v>0</v>
      </c>
      <c r="Q243" t="n">
        <v>0</v>
      </c>
      <c r="R243" t="n">
        <v>0</v>
      </c>
      <c r="S243" t="n">
        <v>0</v>
      </c>
      <c r="T243" t="n">
        <v>0</v>
      </c>
      <c r="U243" s="2" t="inlineStr"/>
    </row>
    <row r="244" ht="15" customHeight="1">
      <c r="A244" t="inlineStr">
        <is>
          <t>A 62744-2023</t>
        </is>
      </c>
      <c r="B244" t="inlineStr">
        <is>
          <t>avverkningsanmälan</t>
        </is>
      </c>
      <c r="C244" t="inlineStr">
        <is>
          <t>Föryngringsavverkning</t>
        </is>
      </c>
      <c r="D244" s="1" t="n">
        <v>45268</v>
      </c>
      <c r="E244" s="1" t="n">
        <v>46216</v>
      </c>
      <c r="F244" t="inlineStr">
        <is>
          <t>BLEKINGE LÄN</t>
        </is>
      </c>
      <c r="G244" t="inlineStr">
        <is>
          <t>OLOFSTRÖM</t>
        </is>
      </c>
      <c r="H244" t="inlineStr">
        <is>
          <t>Övriga Aktiebolag</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62758-2023</t>
        </is>
      </c>
      <c r="B245" t="inlineStr">
        <is>
          <t>avverkningsanmälan</t>
        </is>
      </c>
      <c r="C245" t="inlineStr">
        <is>
          <t>Föryngringsavverkning</t>
        </is>
      </c>
      <c r="D245" s="1" t="n">
        <v>45268</v>
      </c>
      <c r="E245" s="1" t="n">
        <v>46216</v>
      </c>
      <c r="F245" t="inlineStr">
        <is>
          <t>BLEKINGE LÄN</t>
        </is>
      </c>
      <c r="G245" t="inlineStr">
        <is>
          <t>OLOFSTRÖM</t>
        </is>
      </c>
      <c r="H245" t="inlineStr">
        <is>
          <t>Övriga Aktiebolag</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6649-2025</t>
        </is>
      </c>
      <c r="B246" t="inlineStr">
        <is>
          <t>avverkningsanmälan</t>
        </is>
      </c>
      <c r="C246" t="inlineStr">
        <is>
          <t>Föryngringsavverkning</t>
        </is>
      </c>
      <c r="D246" s="1" t="n">
        <v>45700</v>
      </c>
      <c r="E246" s="1" t="n">
        <v>46216</v>
      </c>
      <c r="F246" t="inlineStr">
        <is>
          <t>BLEKINGE LÄN</t>
        </is>
      </c>
      <c r="G246" t="inlineStr">
        <is>
          <t>OLOFSTRÖM</t>
        </is>
      </c>
      <c r="H246" t="inlineStr">
        <is>
          <t>Kommuner</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17232-2026</t>
        </is>
      </c>
      <c r="B247" t="inlineStr">
        <is>
          <t>avverkningsanmälan</t>
        </is>
      </c>
      <c r="C247" t="inlineStr">
        <is>
          <t>Föryngringsavverkning</t>
        </is>
      </c>
      <c r="D247" s="1" t="n">
        <v>46119</v>
      </c>
      <c r="E247" s="1" t="n">
        <v>46216</v>
      </c>
      <c r="F247" t="inlineStr">
        <is>
          <t>BLEKINGE LÄN</t>
        </is>
      </c>
      <c r="G247" t="inlineStr">
        <is>
          <t>OLOFSTRÖM</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17459-2026</t>
        </is>
      </c>
      <c r="B248" t="inlineStr">
        <is>
          <t>avverkningsanmälan</t>
        </is>
      </c>
      <c r="C248" t="inlineStr">
        <is>
          <t>Föryngringsavverkning</t>
        </is>
      </c>
      <c r="D248" s="1" t="n">
        <v>46120</v>
      </c>
      <c r="E248" s="1" t="n">
        <v>46216</v>
      </c>
      <c r="F248" t="inlineStr">
        <is>
          <t>BLEKINGE LÄN</t>
        </is>
      </c>
      <c r="G248" t="inlineStr">
        <is>
          <t>OLOFSTRÖM</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69498-2021</t>
        </is>
      </c>
      <c r="B249" t="inlineStr">
        <is>
          <t>avverkningsanmälan</t>
        </is>
      </c>
      <c r="C249" t="inlineStr">
        <is>
          <t>Föryngringsavverkning</t>
        </is>
      </c>
      <c r="D249" s="1" t="n">
        <v>44531</v>
      </c>
      <c r="E249" s="1" t="n">
        <v>46216</v>
      </c>
      <c r="F249" t="inlineStr">
        <is>
          <t>BLEKINGE LÄN</t>
        </is>
      </c>
      <c r="G249" t="inlineStr">
        <is>
          <t>OLOFSTRÖM</t>
        </is>
      </c>
      <c r="H249" t="inlineStr">
        <is>
          <t>Kommuner</t>
        </is>
      </c>
      <c r="I249" t="n">
        <v>6.9</v>
      </c>
      <c r="J249" t="n">
        <v>0</v>
      </c>
      <c r="K249" t="n">
        <v>0</v>
      </c>
      <c r="L249" t="n">
        <v>0</v>
      </c>
      <c r="M249" t="n">
        <v>0</v>
      </c>
      <c r="N249" t="n">
        <v>0</v>
      </c>
      <c r="O249" t="n">
        <v>0</v>
      </c>
      <c r="P249" t="n">
        <v>0</v>
      </c>
      <c r="Q249" t="n">
        <v>0</v>
      </c>
      <c r="R249" t="n">
        <v>0</v>
      </c>
      <c r="S249" t="n">
        <v>0</v>
      </c>
      <c r="T249" t="n">
        <v>0</v>
      </c>
      <c r="U249" s="2" t="inlineStr"/>
    </row>
    <row r="250" ht="15" customHeight="1">
      <c r="A250" t="inlineStr">
        <is>
          <t>A 18046-2026</t>
        </is>
      </c>
      <c r="B250" t="inlineStr">
        <is>
          <t>avverkningsanmälan</t>
        </is>
      </c>
      <c r="C250" t="inlineStr">
        <is>
          <t>Föryngringsavverkning</t>
        </is>
      </c>
      <c r="D250" s="1" t="n">
        <v>46125</v>
      </c>
      <c r="E250" s="1" t="n">
        <v>46216</v>
      </c>
      <c r="F250" t="inlineStr">
        <is>
          <t>BLEKINGE LÄN</t>
        </is>
      </c>
      <c r="G250" t="inlineStr">
        <is>
          <t>OLOFSTRÖM</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27791-2022</t>
        </is>
      </c>
      <c r="B251" t="inlineStr">
        <is>
          <t>avverkningsanmälan</t>
        </is>
      </c>
      <c r="C251" t="inlineStr">
        <is>
          <t>Föryngringsavverkning</t>
        </is>
      </c>
      <c r="D251" s="1" t="n">
        <v>44743</v>
      </c>
      <c r="E251" s="1" t="n">
        <v>46216</v>
      </c>
      <c r="F251" t="inlineStr">
        <is>
          <t>BLEKINGE LÄN</t>
        </is>
      </c>
      <c r="G251" t="inlineStr">
        <is>
          <t>OLOFSTRÖM</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18472-2026</t>
        </is>
      </c>
      <c r="B252" t="inlineStr">
        <is>
          <t>avverkningsanmälan</t>
        </is>
      </c>
      <c r="C252" t="inlineStr">
        <is>
          <t>Föryngringsavverkning</t>
        </is>
      </c>
      <c r="D252" s="1" t="n">
        <v>46127</v>
      </c>
      <c r="E252" s="1" t="n">
        <v>46216</v>
      </c>
      <c r="F252" t="inlineStr">
        <is>
          <t>BLEKINGE LÄN</t>
        </is>
      </c>
      <c r="G252" t="inlineStr">
        <is>
          <t>OLOFSTRÖM</t>
        </is>
      </c>
      <c r="I252" t="n">
        <v>5.9</v>
      </c>
      <c r="J252" t="n">
        <v>0</v>
      </c>
      <c r="K252" t="n">
        <v>0</v>
      </c>
      <c r="L252" t="n">
        <v>0</v>
      </c>
      <c r="M252" t="n">
        <v>0</v>
      </c>
      <c r="N252" t="n">
        <v>0</v>
      </c>
      <c r="O252" t="n">
        <v>0</v>
      </c>
      <c r="P252" t="n">
        <v>0</v>
      </c>
      <c r="Q252" t="n">
        <v>0</v>
      </c>
      <c r="R252" t="n">
        <v>0</v>
      </c>
      <c r="S252" t="n">
        <v>0</v>
      </c>
      <c r="T252" t="n">
        <v>0</v>
      </c>
      <c r="U252" s="2" t="inlineStr"/>
    </row>
    <row r="253" ht="15" customHeight="1">
      <c r="A253" t="inlineStr">
        <is>
          <t>A 21090-2022</t>
        </is>
      </c>
      <c r="B253" t="inlineStr">
        <is>
          <t>avverkningsanmälan</t>
        </is>
      </c>
      <c r="C253" t="inlineStr">
        <is>
          <t>Föryngringsavverkning</t>
        </is>
      </c>
      <c r="D253" s="1" t="n">
        <v>44704</v>
      </c>
      <c r="E253" s="1" t="n">
        <v>46216</v>
      </c>
      <c r="F253" t="inlineStr">
        <is>
          <t>BLEKINGE LÄN</t>
        </is>
      </c>
      <c r="G253" t="inlineStr">
        <is>
          <t>OLOFSTRÖM</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63423-2023</t>
        </is>
      </c>
      <c r="B254" t="inlineStr">
        <is>
          <t>avverkningsanmälan</t>
        </is>
      </c>
      <c r="C254" t="inlineStr">
        <is>
          <t>Föryngringsavverkning</t>
        </is>
      </c>
      <c r="D254" s="1" t="n">
        <v>45274</v>
      </c>
      <c r="E254" s="1" t="n">
        <v>46216</v>
      </c>
      <c r="F254" t="inlineStr">
        <is>
          <t>BLEKINGE LÄN</t>
        </is>
      </c>
      <c r="G254" t="inlineStr">
        <is>
          <t>OLOFSTRÖM</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73654-2021</t>
        </is>
      </c>
      <c r="B255" t="inlineStr">
        <is>
          <t>avverkningsanmälan</t>
        </is>
      </c>
      <c r="C255" t="inlineStr">
        <is>
          <t>Föryngringsavverkning</t>
        </is>
      </c>
      <c r="D255" s="1" t="n">
        <v>44552</v>
      </c>
      <c r="E255" s="1" t="n">
        <v>46216</v>
      </c>
      <c r="F255" t="inlineStr">
        <is>
          <t>BLEKINGE LÄN</t>
        </is>
      </c>
      <c r="G255" t="inlineStr">
        <is>
          <t>OLOFSTRÖM</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6296-2025</t>
        </is>
      </c>
      <c r="B256" t="inlineStr">
        <is>
          <t>avverkningsanmälan</t>
        </is>
      </c>
      <c r="C256" t="inlineStr">
        <is>
          <t>Föryngringsavverkning</t>
        </is>
      </c>
      <c r="D256" s="1" t="n">
        <v>45698</v>
      </c>
      <c r="E256" s="1" t="n">
        <v>46216</v>
      </c>
      <c r="F256" t="inlineStr">
        <is>
          <t>BLEKINGE LÄN</t>
        </is>
      </c>
      <c r="G256" t="inlineStr">
        <is>
          <t>OLOFSTRÖM</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39882-2023</t>
        </is>
      </c>
      <c r="B257" t="inlineStr">
        <is>
          <t>avverkningsanmälan</t>
        </is>
      </c>
      <c r="C257" t="inlineStr">
        <is>
          <t>Föryngringsavverkning</t>
        </is>
      </c>
      <c r="D257" s="1" t="n">
        <v>45166</v>
      </c>
      <c r="E257" s="1" t="n">
        <v>46216</v>
      </c>
      <c r="F257" t="inlineStr">
        <is>
          <t>BLEKINGE LÄN</t>
        </is>
      </c>
      <c r="G257" t="inlineStr">
        <is>
          <t>OLOFSTRÖM</t>
        </is>
      </c>
      <c r="I257" t="n">
        <v>3.2</v>
      </c>
      <c r="J257" t="n">
        <v>0</v>
      </c>
      <c r="K257" t="n">
        <v>0</v>
      </c>
      <c r="L257" t="n">
        <v>0</v>
      </c>
      <c r="M257" t="n">
        <v>0</v>
      </c>
      <c r="N257" t="n">
        <v>0</v>
      </c>
      <c r="O257" t="n">
        <v>0</v>
      </c>
      <c r="P257" t="n">
        <v>0</v>
      </c>
      <c r="Q257" t="n">
        <v>0</v>
      </c>
      <c r="R257" t="n">
        <v>0</v>
      </c>
      <c r="S257" t="n">
        <v>0</v>
      </c>
      <c r="T257" t="n">
        <v>0</v>
      </c>
      <c r="U257" s="2" t="inlineStr"/>
    </row>
    <row r="258" ht="15" customHeight="1">
      <c r="A258" t="inlineStr">
        <is>
          <t>A 49786-2022</t>
        </is>
      </c>
      <c r="B258" t="inlineStr">
        <is>
          <t>avverkningsanmälan</t>
        </is>
      </c>
      <c r="C258" t="inlineStr">
        <is>
          <t>Föryngringsavverkning</t>
        </is>
      </c>
      <c r="D258" s="1" t="n">
        <v>44862</v>
      </c>
      <c r="E258" s="1" t="n">
        <v>46216</v>
      </c>
      <c r="F258" t="inlineStr">
        <is>
          <t>BLEKINGE LÄN</t>
        </is>
      </c>
      <c r="G258" t="inlineStr">
        <is>
          <t>OLOFSTRÖM</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53182-2022</t>
        </is>
      </c>
      <c r="B259" t="inlineStr">
        <is>
          <t>avverkningsanmälan</t>
        </is>
      </c>
      <c r="C259" t="inlineStr">
        <is>
          <t>Föryngringsavverkning</t>
        </is>
      </c>
      <c r="D259" s="1" t="n">
        <v>44876</v>
      </c>
      <c r="E259" s="1" t="n">
        <v>46216</v>
      </c>
      <c r="F259" t="inlineStr">
        <is>
          <t>BLEKINGE LÄN</t>
        </is>
      </c>
      <c r="G259" t="inlineStr">
        <is>
          <t>OLOFSTRÖM</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17532-2023</t>
        </is>
      </c>
      <c r="B260" t="inlineStr">
        <is>
          <t>avverkningsanmälan</t>
        </is>
      </c>
      <c r="C260" t="inlineStr">
        <is>
          <t>Föryngringsavverkning</t>
        </is>
      </c>
      <c r="D260" s="1" t="n">
        <v>45036</v>
      </c>
      <c r="E260" s="1" t="n">
        <v>46216</v>
      </c>
      <c r="F260" t="inlineStr">
        <is>
          <t>BLEKINGE LÄN</t>
        </is>
      </c>
      <c r="G260" t="inlineStr">
        <is>
          <t>OLOFSTRÖM</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14659-2025</t>
        </is>
      </c>
      <c r="B261" t="inlineStr">
        <is>
          <t>avverkningsanmälan</t>
        </is>
      </c>
      <c r="C261" t="inlineStr">
        <is>
          <t>Föryngringsavverkning</t>
        </is>
      </c>
      <c r="D261" s="1" t="n">
        <v>45742</v>
      </c>
      <c r="E261" s="1" t="n">
        <v>46216</v>
      </c>
      <c r="F261" t="inlineStr">
        <is>
          <t>BLEKINGE LÄN</t>
        </is>
      </c>
      <c r="G261" t="inlineStr">
        <is>
          <t>OLOFSTRÖM</t>
        </is>
      </c>
      <c r="I261" t="n">
        <v>2.8</v>
      </c>
      <c r="J261" t="n">
        <v>0</v>
      </c>
      <c r="K261" t="n">
        <v>0</v>
      </c>
      <c r="L261" t="n">
        <v>0</v>
      </c>
      <c r="M261" t="n">
        <v>0</v>
      </c>
      <c r="N261" t="n">
        <v>0</v>
      </c>
      <c r="O261" t="n">
        <v>0</v>
      </c>
      <c r="P261" t="n">
        <v>0</v>
      </c>
      <c r="Q261" t="n">
        <v>0</v>
      </c>
      <c r="R261" t="n">
        <v>0</v>
      </c>
      <c r="S261" t="n">
        <v>0</v>
      </c>
      <c r="T261" t="n">
        <v>0</v>
      </c>
      <c r="U261" s="2" t="inlineStr"/>
    </row>
    <row r="262" ht="15" customHeight="1">
      <c r="A262" t="inlineStr">
        <is>
          <t>A 34932-2025</t>
        </is>
      </c>
      <c r="B262" t="inlineStr">
        <is>
          <t>avverkningsanmälan</t>
        </is>
      </c>
      <c r="C262" t="inlineStr">
        <is>
          <t>Föryngringsavverkning</t>
        </is>
      </c>
      <c r="D262" s="1" t="n">
        <v>45849</v>
      </c>
      <c r="E262" s="1" t="n">
        <v>46216</v>
      </c>
      <c r="F262" t="inlineStr">
        <is>
          <t>BLEKINGE LÄN</t>
        </is>
      </c>
      <c r="G262" t="inlineStr">
        <is>
          <t>OLOFSTRÖM</t>
        </is>
      </c>
      <c r="I262" t="n">
        <v>2.1</v>
      </c>
      <c r="J262" t="n">
        <v>0</v>
      </c>
      <c r="K262" t="n">
        <v>0</v>
      </c>
      <c r="L262" t="n">
        <v>0</v>
      </c>
      <c r="M262" t="n">
        <v>0</v>
      </c>
      <c r="N262" t="n">
        <v>0</v>
      </c>
      <c r="O262" t="n">
        <v>0</v>
      </c>
      <c r="P262" t="n">
        <v>0</v>
      </c>
      <c r="Q262" t="n">
        <v>0</v>
      </c>
      <c r="R262" t="n">
        <v>0</v>
      </c>
      <c r="S262" t="n">
        <v>0</v>
      </c>
      <c r="T262" t="n">
        <v>0</v>
      </c>
      <c r="U262" s="2" t="inlineStr"/>
    </row>
    <row r="263" ht="15" customHeight="1">
      <c r="A263" t="inlineStr">
        <is>
          <t>A 46921-2024</t>
        </is>
      </c>
      <c r="B263" t="inlineStr">
        <is>
          <t>avverkningsanmälan</t>
        </is>
      </c>
      <c r="C263" t="inlineStr">
        <is>
          <t>Föryngringsavverkning</t>
        </is>
      </c>
      <c r="D263" s="1" t="n">
        <v>45583</v>
      </c>
      <c r="E263" s="1" t="n">
        <v>46216</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62734-2023</t>
        </is>
      </c>
      <c r="B264" t="inlineStr">
        <is>
          <t>avverkningsanmälan</t>
        </is>
      </c>
      <c r="C264" t="inlineStr">
        <is>
          <t>Föryngringsavverkning</t>
        </is>
      </c>
      <c r="D264" s="1" t="n">
        <v>45268</v>
      </c>
      <c r="E264" s="1" t="n">
        <v>46216</v>
      </c>
      <c r="F264" t="inlineStr">
        <is>
          <t>BLEKINGE LÄN</t>
        </is>
      </c>
      <c r="G264" t="inlineStr">
        <is>
          <t>OLOFSTRÖM</t>
        </is>
      </c>
      <c r="H264" t="inlineStr">
        <is>
          <t>Övriga Aktiebolag</t>
        </is>
      </c>
      <c r="I264" t="n">
        <v>8.4</v>
      </c>
      <c r="J264" t="n">
        <v>0</v>
      </c>
      <c r="K264" t="n">
        <v>0</v>
      </c>
      <c r="L264" t="n">
        <v>0</v>
      </c>
      <c r="M264" t="n">
        <v>0</v>
      </c>
      <c r="N264" t="n">
        <v>0</v>
      </c>
      <c r="O264" t="n">
        <v>0</v>
      </c>
      <c r="P264" t="n">
        <v>0</v>
      </c>
      <c r="Q264" t="n">
        <v>0</v>
      </c>
      <c r="R264" t="n">
        <v>0</v>
      </c>
      <c r="S264" t="n">
        <v>0</v>
      </c>
      <c r="T264" t="n">
        <v>0</v>
      </c>
      <c r="U264" s="2" t="inlineStr"/>
    </row>
    <row r="265" ht="15" customHeight="1">
      <c r="A265" t="inlineStr">
        <is>
          <t>A 38405-2025</t>
        </is>
      </c>
      <c r="B265" t="inlineStr">
        <is>
          <t>avverkningsanmälan</t>
        </is>
      </c>
      <c r="C265" t="inlineStr">
        <is>
          <t>Föryngringsavverkning</t>
        </is>
      </c>
      <c r="D265" s="1" t="n">
        <v>45883</v>
      </c>
      <c r="E265" s="1" t="n">
        <v>46216</v>
      </c>
      <c r="F265" t="inlineStr">
        <is>
          <t>BLEKINGE LÄN</t>
        </is>
      </c>
      <c r="G265" t="inlineStr">
        <is>
          <t>OLOFSTRÖM</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33862-2023</t>
        </is>
      </c>
      <c r="B266" t="inlineStr">
        <is>
          <t>avverkningsanmälan</t>
        </is>
      </c>
      <c r="C266" t="inlineStr">
        <is>
          <t>Föryngringsavverkning</t>
        </is>
      </c>
      <c r="D266" s="1" t="n">
        <v>45133</v>
      </c>
      <c r="E266" s="1" t="n">
        <v>46216</v>
      </c>
      <c r="F266" t="inlineStr">
        <is>
          <t>BLEKINGE LÄN</t>
        </is>
      </c>
      <c r="G266" t="inlineStr">
        <is>
          <t>OLOFSTRÖM</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11071-2023</t>
        </is>
      </c>
      <c r="B267" t="inlineStr">
        <is>
          <t>avverkningsanmälan</t>
        </is>
      </c>
      <c r="C267" t="inlineStr">
        <is>
          <t>Föryngringsavverkning</t>
        </is>
      </c>
      <c r="D267" s="1" t="n">
        <v>44992</v>
      </c>
      <c r="E267" s="1" t="n">
        <v>46216</v>
      </c>
      <c r="F267" t="inlineStr">
        <is>
          <t>BLEKINGE LÄN</t>
        </is>
      </c>
      <c r="G267" t="inlineStr">
        <is>
          <t>OLOFSTRÖM</t>
        </is>
      </c>
      <c r="I267" t="n">
        <v>3</v>
      </c>
      <c r="J267" t="n">
        <v>0</v>
      </c>
      <c r="K267" t="n">
        <v>0</v>
      </c>
      <c r="L267" t="n">
        <v>0</v>
      </c>
      <c r="M267" t="n">
        <v>0</v>
      </c>
      <c r="N267" t="n">
        <v>0</v>
      </c>
      <c r="O267" t="n">
        <v>0</v>
      </c>
      <c r="P267" t="n">
        <v>0</v>
      </c>
      <c r="Q267" t="n">
        <v>0</v>
      </c>
      <c r="R267" t="n">
        <v>0</v>
      </c>
      <c r="S267" t="n">
        <v>0</v>
      </c>
      <c r="T267" t="n">
        <v>0</v>
      </c>
      <c r="U267" s="2" t="inlineStr"/>
    </row>
    <row r="268" ht="15" customHeight="1">
      <c r="A268" t="inlineStr">
        <is>
          <t>A 20448-2025</t>
        </is>
      </c>
      <c r="B268" t="inlineStr">
        <is>
          <t>avverkningsanmälan</t>
        </is>
      </c>
      <c r="C268" t="inlineStr">
        <is>
          <t>Föryngringsavverkning</t>
        </is>
      </c>
      <c r="D268" s="1" t="n">
        <v>45775</v>
      </c>
      <c r="E268" s="1" t="n">
        <v>46216</v>
      </c>
      <c r="F268" t="inlineStr">
        <is>
          <t>BLEKINGE LÄN</t>
        </is>
      </c>
      <c r="G268" t="inlineStr">
        <is>
          <t>OLOFSTRÖM</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15464-2024</t>
        </is>
      </c>
      <c r="B269" t="inlineStr">
        <is>
          <t>avverkningsanmälan</t>
        </is>
      </c>
      <c r="C269" t="inlineStr">
        <is>
          <t>Föryngringsavverkning</t>
        </is>
      </c>
      <c r="D269" s="1" t="n">
        <v>45401</v>
      </c>
      <c r="E269" s="1" t="n">
        <v>46216</v>
      </c>
      <c r="F269" t="inlineStr">
        <is>
          <t>BLEKINGE LÄN</t>
        </is>
      </c>
      <c r="G269" t="inlineStr">
        <is>
          <t>OLOFSTRÖM</t>
        </is>
      </c>
      <c r="I269" t="n">
        <v>3.8</v>
      </c>
      <c r="J269" t="n">
        <v>0</v>
      </c>
      <c r="K269" t="n">
        <v>0</v>
      </c>
      <c r="L269" t="n">
        <v>0</v>
      </c>
      <c r="M269" t="n">
        <v>0</v>
      </c>
      <c r="N269" t="n">
        <v>0</v>
      </c>
      <c r="O269" t="n">
        <v>0</v>
      </c>
      <c r="P269" t="n">
        <v>0</v>
      </c>
      <c r="Q269" t="n">
        <v>0</v>
      </c>
      <c r="R269" t="n">
        <v>0</v>
      </c>
      <c r="S269" t="n">
        <v>0</v>
      </c>
      <c r="T269" t="n">
        <v>0</v>
      </c>
      <c r="U269" s="2" t="inlineStr"/>
    </row>
    <row r="270" ht="15" customHeight="1">
      <c r="A270" t="inlineStr">
        <is>
          <t>A 8486-2025</t>
        </is>
      </c>
      <c r="B270" t="inlineStr">
        <is>
          <t>avverkningsanmälan</t>
        </is>
      </c>
      <c r="C270" t="inlineStr">
        <is>
          <t>Föryngringsavverkning</t>
        </is>
      </c>
      <c r="D270" s="1" t="n">
        <v>45709</v>
      </c>
      <c r="E270" s="1" t="n">
        <v>46216</v>
      </c>
      <c r="F270" t="inlineStr">
        <is>
          <t>BLEKINGE LÄN</t>
        </is>
      </c>
      <c r="G270" t="inlineStr">
        <is>
          <t>OLOFSTRÖM</t>
        </is>
      </c>
      <c r="I270" t="n">
        <v>3.9</v>
      </c>
      <c r="J270" t="n">
        <v>0</v>
      </c>
      <c r="K270" t="n">
        <v>0</v>
      </c>
      <c r="L270" t="n">
        <v>0</v>
      </c>
      <c r="M270" t="n">
        <v>0</v>
      </c>
      <c r="N270" t="n">
        <v>0</v>
      </c>
      <c r="O270" t="n">
        <v>0</v>
      </c>
      <c r="P270" t="n">
        <v>0</v>
      </c>
      <c r="Q270" t="n">
        <v>0</v>
      </c>
      <c r="R270" t="n">
        <v>0</v>
      </c>
      <c r="S270" t="n">
        <v>0</v>
      </c>
      <c r="T270" t="n">
        <v>0</v>
      </c>
      <c r="U270" s="2" t="inlineStr"/>
    </row>
    <row r="271" ht="15" customHeight="1">
      <c r="A271" t="inlineStr">
        <is>
          <t>A 52067-2022</t>
        </is>
      </c>
      <c r="B271" t="inlineStr">
        <is>
          <t>avverkningsanmälan</t>
        </is>
      </c>
      <c r="C271" t="inlineStr">
        <is>
          <t>Föryngringsavverkning</t>
        </is>
      </c>
      <c r="D271" s="1" t="n">
        <v>44873</v>
      </c>
      <c r="E271" s="1" t="n">
        <v>46216</v>
      </c>
      <c r="F271" t="inlineStr">
        <is>
          <t>BLEKINGE LÄN</t>
        </is>
      </c>
      <c r="G271" t="inlineStr">
        <is>
          <t>OLOFSTRÖM</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49389-2024</t>
        </is>
      </c>
      <c r="B272" t="inlineStr">
        <is>
          <t>avverkningsanmälan</t>
        </is>
      </c>
      <c r="C272" t="inlineStr">
        <is>
          <t>Föryngringsavverkning</t>
        </is>
      </c>
      <c r="D272" s="1" t="n">
        <v>45595</v>
      </c>
      <c r="E272" s="1" t="n">
        <v>46216</v>
      </c>
      <c r="F272" t="inlineStr">
        <is>
          <t>BLEKINGE LÄN</t>
        </is>
      </c>
      <c r="G272" t="inlineStr">
        <is>
          <t>OLOFSTRÖM</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57910-2023</t>
        </is>
      </c>
      <c r="B273" t="inlineStr">
        <is>
          <t>avverkningsanmälan</t>
        </is>
      </c>
      <c r="C273" t="inlineStr">
        <is>
          <t>Föryngringsavverkning</t>
        </is>
      </c>
      <c r="D273" s="1" t="n">
        <v>45247</v>
      </c>
      <c r="E273" s="1" t="n">
        <v>46216</v>
      </c>
      <c r="F273" t="inlineStr">
        <is>
          <t>BLEKINGE LÄN</t>
        </is>
      </c>
      <c r="G273" t="inlineStr">
        <is>
          <t>OLOFSTRÖM</t>
        </is>
      </c>
      <c r="I273" t="n">
        <v>2.7</v>
      </c>
      <c r="J273" t="n">
        <v>0</v>
      </c>
      <c r="K273" t="n">
        <v>0</v>
      </c>
      <c r="L273" t="n">
        <v>0</v>
      </c>
      <c r="M273" t="n">
        <v>0</v>
      </c>
      <c r="N273" t="n">
        <v>0</v>
      </c>
      <c r="O273" t="n">
        <v>0</v>
      </c>
      <c r="P273" t="n">
        <v>0</v>
      </c>
      <c r="Q273" t="n">
        <v>0</v>
      </c>
      <c r="R273" t="n">
        <v>0</v>
      </c>
      <c r="S273" t="n">
        <v>0</v>
      </c>
      <c r="T273" t="n">
        <v>0</v>
      </c>
      <c r="U273" s="2" t="inlineStr"/>
    </row>
    <row r="274" ht="15" customHeight="1">
      <c r="A274" t="inlineStr">
        <is>
          <t>A 57915-2023</t>
        </is>
      </c>
      <c r="B274" t="inlineStr">
        <is>
          <t>avverkningsanmälan</t>
        </is>
      </c>
      <c r="C274" t="inlineStr">
        <is>
          <t>Föryngringsavverkning</t>
        </is>
      </c>
      <c r="D274" s="1" t="n">
        <v>45247</v>
      </c>
      <c r="E274" s="1" t="n">
        <v>46216</v>
      </c>
      <c r="F274" t="inlineStr">
        <is>
          <t>BLEKINGE LÄN</t>
        </is>
      </c>
      <c r="G274" t="inlineStr">
        <is>
          <t>OLOFSTRÖM</t>
        </is>
      </c>
      <c r="I274" t="n">
        <v>3.9</v>
      </c>
      <c r="J274" t="n">
        <v>0</v>
      </c>
      <c r="K274" t="n">
        <v>0</v>
      </c>
      <c r="L274" t="n">
        <v>0</v>
      </c>
      <c r="M274" t="n">
        <v>0</v>
      </c>
      <c r="N274" t="n">
        <v>0</v>
      </c>
      <c r="O274" t="n">
        <v>0</v>
      </c>
      <c r="P274" t="n">
        <v>0</v>
      </c>
      <c r="Q274" t="n">
        <v>0</v>
      </c>
      <c r="R274" t="n">
        <v>0</v>
      </c>
      <c r="S274" t="n">
        <v>0</v>
      </c>
      <c r="T274" t="n">
        <v>0</v>
      </c>
      <c r="U274" s="2" t="inlineStr"/>
    </row>
    <row r="275" ht="15" customHeight="1">
      <c r="A275" t="inlineStr">
        <is>
          <t>A 28328-2025</t>
        </is>
      </c>
      <c r="B275" t="inlineStr">
        <is>
          <t>avverkningsanmälan</t>
        </is>
      </c>
      <c r="C275" t="inlineStr">
        <is>
          <t>Föryngringsavverkning</t>
        </is>
      </c>
      <c r="D275" s="1" t="n">
        <v>45818</v>
      </c>
      <c r="E275" s="1" t="n">
        <v>46216</v>
      </c>
      <c r="F275" t="inlineStr">
        <is>
          <t>BLEKINGE LÄN</t>
        </is>
      </c>
      <c r="G275" t="inlineStr">
        <is>
          <t>OLOFSTRÖM</t>
        </is>
      </c>
      <c r="I275" t="n">
        <v>3.4</v>
      </c>
      <c r="J275" t="n">
        <v>0</v>
      </c>
      <c r="K275" t="n">
        <v>0</v>
      </c>
      <c r="L275" t="n">
        <v>0</v>
      </c>
      <c r="M275" t="n">
        <v>0</v>
      </c>
      <c r="N275" t="n">
        <v>0</v>
      </c>
      <c r="O275" t="n">
        <v>0</v>
      </c>
      <c r="P275" t="n">
        <v>0</v>
      </c>
      <c r="Q275" t="n">
        <v>0</v>
      </c>
      <c r="R275" t="n">
        <v>0</v>
      </c>
      <c r="S275" t="n">
        <v>0</v>
      </c>
      <c r="T275" t="n">
        <v>0</v>
      </c>
      <c r="U275" s="2" t="inlineStr"/>
    </row>
    <row r="276" ht="15" customHeight="1">
      <c r="A276" t="inlineStr">
        <is>
          <t>A 3429-2023</t>
        </is>
      </c>
      <c r="B276" t="inlineStr">
        <is>
          <t>avverkningsanmälan</t>
        </is>
      </c>
      <c r="C276" t="inlineStr">
        <is>
          <t>Föryngringsavverkning</t>
        </is>
      </c>
      <c r="D276" s="1" t="n">
        <v>44949</v>
      </c>
      <c r="E276" s="1" t="n">
        <v>46216</v>
      </c>
      <c r="F276" t="inlineStr">
        <is>
          <t>BLEKINGE LÄN</t>
        </is>
      </c>
      <c r="G276" t="inlineStr">
        <is>
          <t>OLOFSTRÖM</t>
        </is>
      </c>
      <c r="I276" t="n">
        <v>4.6</v>
      </c>
      <c r="J276" t="n">
        <v>0</v>
      </c>
      <c r="K276" t="n">
        <v>0</v>
      </c>
      <c r="L276" t="n">
        <v>0</v>
      </c>
      <c r="M276" t="n">
        <v>0</v>
      </c>
      <c r="N276" t="n">
        <v>0</v>
      </c>
      <c r="O276" t="n">
        <v>0</v>
      </c>
      <c r="P276" t="n">
        <v>0</v>
      </c>
      <c r="Q276" t="n">
        <v>0</v>
      </c>
      <c r="R276" t="n">
        <v>0</v>
      </c>
      <c r="S276" t="n">
        <v>0</v>
      </c>
      <c r="T276" t="n">
        <v>0</v>
      </c>
      <c r="U276" s="2" t="inlineStr"/>
    </row>
    <row r="277" ht="15" customHeight="1">
      <c r="A277" t="inlineStr">
        <is>
          <t>A 52689-2023</t>
        </is>
      </c>
      <c r="B277" t="inlineStr">
        <is>
          <t>avverkningsanmälan</t>
        </is>
      </c>
      <c r="C277" t="inlineStr">
        <is>
          <t>Föryngringsavverkning</t>
        </is>
      </c>
      <c r="D277" s="1" t="n">
        <v>45225</v>
      </c>
      <c r="E277" s="1" t="n">
        <v>46216</v>
      </c>
      <c r="F277" t="inlineStr">
        <is>
          <t>BLEKINGE LÄN</t>
        </is>
      </c>
      <c r="G277" t="inlineStr">
        <is>
          <t>OLOFSTRÖM</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63392-2023</t>
        </is>
      </c>
      <c r="B278" t="inlineStr">
        <is>
          <t>avverkningsanmälan</t>
        </is>
      </c>
      <c r="C278" t="inlineStr">
        <is>
          <t>Föryngringsavverkning</t>
        </is>
      </c>
      <c r="D278" s="1" t="n">
        <v>45274</v>
      </c>
      <c r="E278" s="1" t="n">
        <v>46216</v>
      </c>
      <c r="F278" t="inlineStr">
        <is>
          <t>BLEKINGE LÄN</t>
        </is>
      </c>
      <c r="G278" t="inlineStr">
        <is>
          <t>OLOFSTRÖM</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63393-2023</t>
        </is>
      </c>
      <c r="B279" t="inlineStr">
        <is>
          <t>avverkningsanmälan</t>
        </is>
      </c>
      <c r="C279" t="inlineStr">
        <is>
          <t>Föryngringsavverkning</t>
        </is>
      </c>
      <c r="D279" s="1" t="n">
        <v>45274</v>
      </c>
      <c r="E279" s="1" t="n">
        <v>46216</v>
      </c>
      <c r="F279" t="inlineStr">
        <is>
          <t>BLEKINGE LÄN</t>
        </is>
      </c>
      <c r="G279" t="inlineStr">
        <is>
          <t>OLOFSTRÖM</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47195-2021</t>
        </is>
      </c>
      <c r="B280" t="inlineStr">
        <is>
          <t>avverkningsanmälan</t>
        </is>
      </c>
      <c r="C280" t="inlineStr">
        <is>
          <t>Avverkning för annat ändamål</t>
        </is>
      </c>
      <c r="D280" s="1" t="n">
        <v>44447</v>
      </c>
      <c r="E280" s="1" t="n">
        <v>46216</v>
      </c>
      <c r="F280" t="inlineStr">
        <is>
          <t>BLEKINGE LÄN</t>
        </is>
      </c>
      <c r="G280" t="inlineStr">
        <is>
          <t>OLOFSTRÖM</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46361-2023</t>
        </is>
      </c>
      <c r="B281" t="inlineStr">
        <is>
          <t>avverkningsanmälan</t>
        </is>
      </c>
      <c r="C281" t="inlineStr">
        <is>
          <t>Föryngringsavverkning</t>
        </is>
      </c>
      <c r="D281" s="1" t="n">
        <v>45197</v>
      </c>
      <c r="E281" s="1" t="n">
        <v>46216</v>
      </c>
      <c r="F281" t="inlineStr">
        <is>
          <t>BLEKINGE LÄN</t>
        </is>
      </c>
      <c r="G281" t="inlineStr">
        <is>
          <t>OLOFSTRÖM</t>
        </is>
      </c>
      <c r="I281" t="n">
        <v>3.5</v>
      </c>
      <c r="J281" t="n">
        <v>0</v>
      </c>
      <c r="K281" t="n">
        <v>0</v>
      </c>
      <c r="L281" t="n">
        <v>0</v>
      </c>
      <c r="M281" t="n">
        <v>0</v>
      </c>
      <c r="N281" t="n">
        <v>0</v>
      </c>
      <c r="O281" t="n">
        <v>0</v>
      </c>
      <c r="P281" t="n">
        <v>0</v>
      </c>
      <c r="Q281" t="n">
        <v>0</v>
      </c>
      <c r="R281" t="n">
        <v>0</v>
      </c>
      <c r="S281" t="n">
        <v>0</v>
      </c>
      <c r="T281" t="n">
        <v>0</v>
      </c>
      <c r="U281" s="2" t="inlineStr"/>
    </row>
    <row r="282" ht="15" customHeight="1">
      <c r="A282" t="inlineStr">
        <is>
          <t>A 53459-2021</t>
        </is>
      </c>
      <c r="B282" t="inlineStr">
        <is>
          <t>avverkningsanmälan</t>
        </is>
      </c>
      <c r="C282" t="inlineStr">
        <is>
          <t>Föryngringsavverkning</t>
        </is>
      </c>
      <c r="D282" s="1" t="n">
        <v>44468</v>
      </c>
      <c r="E282" s="1" t="n">
        <v>46216</v>
      </c>
      <c r="F282" t="inlineStr">
        <is>
          <t>BLEKINGE LÄN</t>
        </is>
      </c>
      <c r="G282" t="inlineStr">
        <is>
          <t>OLOFSTRÖM</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49309-2022</t>
        </is>
      </c>
      <c r="B283" t="inlineStr">
        <is>
          <t>avverkningsanmälan</t>
        </is>
      </c>
      <c r="C283" t="inlineStr">
        <is>
          <t>Föryngringsavverkning</t>
        </is>
      </c>
      <c r="D283" s="1" t="n">
        <v>44858</v>
      </c>
      <c r="E283" s="1" t="n">
        <v>46216</v>
      </c>
      <c r="F283" t="inlineStr">
        <is>
          <t>BLEKINGE LÄN</t>
        </is>
      </c>
      <c r="G283" t="inlineStr">
        <is>
          <t>OLOFSTRÖM</t>
        </is>
      </c>
      <c r="I283" t="n">
        <v>20.5</v>
      </c>
      <c r="J283" t="n">
        <v>0</v>
      </c>
      <c r="K283" t="n">
        <v>0</v>
      </c>
      <c r="L283" t="n">
        <v>0</v>
      </c>
      <c r="M283" t="n">
        <v>0</v>
      </c>
      <c r="N283" t="n">
        <v>0</v>
      </c>
      <c r="O283" t="n">
        <v>0</v>
      </c>
      <c r="P283" t="n">
        <v>0</v>
      </c>
      <c r="Q283" t="n">
        <v>0</v>
      </c>
      <c r="R283" t="n">
        <v>0</v>
      </c>
      <c r="S283" t="n">
        <v>0</v>
      </c>
      <c r="T283" t="n">
        <v>0</v>
      </c>
      <c r="U283" s="2" t="inlineStr"/>
    </row>
    <row r="284" ht="15" customHeight="1">
      <c r="A284" t="inlineStr">
        <is>
          <t>A 65030-2023</t>
        </is>
      </c>
      <c r="B284" t="inlineStr">
        <is>
          <t>avverkningsanmälan</t>
        </is>
      </c>
      <c r="C284" t="inlineStr">
        <is>
          <t>Föryngringsavverkning</t>
        </is>
      </c>
      <c r="D284" s="1" t="n">
        <v>45282</v>
      </c>
      <c r="E284" s="1" t="n">
        <v>46216</v>
      </c>
      <c r="F284" t="inlineStr">
        <is>
          <t>BLEKINGE LÄN</t>
        </is>
      </c>
      <c r="G284" t="inlineStr">
        <is>
          <t>OLOFSTRÖM</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48535-2025</t>
        </is>
      </c>
      <c r="B285" t="inlineStr">
        <is>
          <t>avverkningsanmälan</t>
        </is>
      </c>
      <c r="C285" t="inlineStr">
        <is>
          <t>Föryngringsavverkning</t>
        </is>
      </c>
      <c r="D285" s="1" t="n">
        <v>45936</v>
      </c>
      <c r="E285" s="1" t="n">
        <v>46216</v>
      </c>
      <c r="F285" t="inlineStr">
        <is>
          <t>BLEKINGE LÄN</t>
        </is>
      </c>
      <c r="G285" t="inlineStr">
        <is>
          <t>OLOFSTRÖM</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6316-2023</t>
        </is>
      </c>
      <c r="B286" t="inlineStr">
        <is>
          <t>avverkningsanmälan</t>
        </is>
      </c>
      <c r="C286" t="inlineStr">
        <is>
          <t>Föryngringsavverkning</t>
        </is>
      </c>
      <c r="D286" s="1" t="n">
        <v>44965</v>
      </c>
      <c r="E286" s="1" t="n">
        <v>46216</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6318-2023</t>
        </is>
      </c>
      <c r="B287" t="inlineStr">
        <is>
          <t>avverkningsanmälan</t>
        </is>
      </c>
      <c r="C287" t="inlineStr">
        <is>
          <t>Föryngringsavverkning</t>
        </is>
      </c>
      <c r="D287" s="1" t="n">
        <v>44965</v>
      </c>
      <c r="E287" s="1" t="n">
        <v>46216</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25908-2023</t>
        </is>
      </c>
      <c r="B288" t="inlineStr">
        <is>
          <t>avverkningsanmälan</t>
        </is>
      </c>
      <c r="C288" t="inlineStr">
        <is>
          <t>Föryngringsavverkning</t>
        </is>
      </c>
      <c r="D288" s="1" t="n">
        <v>45090</v>
      </c>
      <c r="E288" s="1" t="n">
        <v>46216</v>
      </c>
      <c r="F288" t="inlineStr">
        <is>
          <t>BLEKINGE LÄN</t>
        </is>
      </c>
      <c r="G288" t="inlineStr">
        <is>
          <t>OLOFSTRÖM</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13482-2023</t>
        </is>
      </c>
      <c r="B289" t="inlineStr">
        <is>
          <t>avverkningsanmälan</t>
        </is>
      </c>
      <c r="C289" t="inlineStr">
        <is>
          <t>Föryngringsavverkning</t>
        </is>
      </c>
      <c r="D289" s="1" t="n">
        <v>45005</v>
      </c>
      <c r="E289" s="1" t="n">
        <v>46216</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30823-2024</t>
        </is>
      </c>
      <c r="B290" t="inlineStr">
        <is>
          <t>avverkningsanmälan</t>
        </is>
      </c>
      <c r="C290" t="inlineStr">
        <is>
          <t>Avverkning för annat ändamål</t>
        </is>
      </c>
      <c r="D290" s="1" t="n">
        <v>45497</v>
      </c>
      <c r="E290" s="1" t="n">
        <v>46216</v>
      </c>
      <c r="F290" t="inlineStr">
        <is>
          <t>BLEKINGE LÄN</t>
        </is>
      </c>
      <c r="G290" t="inlineStr">
        <is>
          <t>OLOFSTRÖM</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6430-2024</t>
        </is>
      </c>
      <c r="B291" t="inlineStr">
        <is>
          <t>avverkningsanmälan</t>
        </is>
      </c>
      <c r="C291" t="inlineStr">
        <is>
          <t>Föryngringsavverkning</t>
        </is>
      </c>
      <c r="D291" s="1" t="n">
        <v>45338</v>
      </c>
      <c r="E291" s="1" t="n">
        <v>46216</v>
      </c>
      <c r="F291" t="inlineStr">
        <is>
          <t>BLEKINGE LÄN</t>
        </is>
      </c>
      <c r="G291" t="inlineStr">
        <is>
          <t>OLOFSTRÖM</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6439-2024</t>
        </is>
      </c>
      <c r="B292" t="inlineStr">
        <is>
          <t>avverkningsanmälan</t>
        </is>
      </c>
      <c r="C292" t="inlineStr">
        <is>
          <t>Föryngringsavverkning</t>
        </is>
      </c>
      <c r="D292" s="1" t="n">
        <v>45338</v>
      </c>
      <c r="E292" s="1" t="n">
        <v>46216</v>
      </c>
      <c r="F292" t="inlineStr">
        <is>
          <t>BLEKINGE LÄN</t>
        </is>
      </c>
      <c r="G292" t="inlineStr">
        <is>
          <t>OLOFSTRÖM</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6443-2024</t>
        </is>
      </c>
      <c r="B293" t="inlineStr">
        <is>
          <t>avverkningsanmälan</t>
        </is>
      </c>
      <c r="C293" t="inlineStr">
        <is>
          <t>Föryngringsavverkning</t>
        </is>
      </c>
      <c r="D293" s="1" t="n">
        <v>45338</v>
      </c>
      <c r="E293" s="1" t="n">
        <v>46216</v>
      </c>
      <c r="F293" t="inlineStr">
        <is>
          <t>BLEKINGE LÄN</t>
        </is>
      </c>
      <c r="G293" t="inlineStr">
        <is>
          <t>OLOFSTRÖM</t>
        </is>
      </c>
      <c r="I293" t="n">
        <v>5</v>
      </c>
      <c r="J293" t="n">
        <v>0</v>
      </c>
      <c r="K293" t="n">
        <v>0</v>
      </c>
      <c r="L293" t="n">
        <v>0</v>
      </c>
      <c r="M293" t="n">
        <v>0</v>
      </c>
      <c r="N293" t="n">
        <v>0</v>
      </c>
      <c r="O293" t="n">
        <v>0</v>
      </c>
      <c r="P293" t="n">
        <v>0</v>
      </c>
      <c r="Q293" t="n">
        <v>0</v>
      </c>
      <c r="R293" t="n">
        <v>0</v>
      </c>
      <c r="S293" t="n">
        <v>0</v>
      </c>
      <c r="T293" t="n">
        <v>0</v>
      </c>
      <c r="U293" s="2" t="inlineStr"/>
    </row>
    <row r="294" ht="15" customHeight="1">
      <c r="A294" t="inlineStr">
        <is>
          <t>A 23782-2025</t>
        </is>
      </c>
      <c r="B294" t="inlineStr">
        <is>
          <t>avverkningsanmälan</t>
        </is>
      </c>
      <c r="C294" t="inlineStr">
        <is>
          <t>Föryngringsavverkning</t>
        </is>
      </c>
      <c r="D294" s="1" t="n">
        <v>45793</v>
      </c>
      <c r="E294" s="1" t="n">
        <v>46216</v>
      </c>
      <c r="F294" t="inlineStr">
        <is>
          <t>BLEKINGE LÄN</t>
        </is>
      </c>
      <c r="G294" t="inlineStr">
        <is>
          <t>OLOFSTRÖM</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28249-2025</t>
        </is>
      </c>
      <c r="B295" t="inlineStr">
        <is>
          <t>avverkningsanmälan</t>
        </is>
      </c>
      <c r="C295" t="inlineStr">
        <is>
          <t>Föryngringsavverkning</t>
        </is>
      </c>
      <c r="D295" s="1" t="n">
        <v>45818</v>
      </c>
      <c r="E295" s="1" t="n">
        <v>46216</v>
      </c>
      <c r="F295" t="inlineStr">
        <is>
          <t>BLEKINGE LÄN</t>
        </is>
      </c>
      <c r="G295" t="inlineStr">
        <is>
          <t>OLOFSTRÖM</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28538-2022</t>
        </is>
      </c>
      <c r="B296" t="inlineStr">
        <is>
          <t>avverkningsanmälan</t>
        </is>
      </c>
      <c r="C296" t="inlineStr">
        <is>
          <t>Föryngringsavverkning</t>
        </is>
      </c>
      <c r="D296" s="1" t="n">
        <v>44748</v>
      </c>
      <c r="E296" s="1" t="n">
        <v>46216</v>
      </c>
      <c r="F296" t="inlineStr">
        <is>
          <t>BLEKINGE LÄN</t>
        </is>
      </c>
      <c r="G296" t="inlineStr">
        <is>
          <t>OLOFSTRÖM</t>
        </is>
      </c>
      <c r="I296" t="n">
        <v>4.5</v>
      </c>
      <c r="J296" t="n">
        <v>0</v>
      </c>
      <c r="K296" t="n">
        <v>0</v>
      </c>
      <c r="L296" t="n">
        <v>0</v>
      </c>
      <c r="M296" t="n">
        <v>0</v>
      </c>
      <c r="N296" t="n">
        <v>0</v>
      </c>
      <c r="O296" t="n">
        <v>0</v>
      </c>
      <c r="P296" t="n">
        <v>0</v>
      </c>
      <c r="Q296" t="n">
        <v>0</v>
      </c>
      <c r="R296" t="n">
        <v>0</v>
      </c>
      <c r="S296" t="n">
        <v>0</v>
      </c>
      <c r="T296" t="n">
        <v>0</v>
      </c>
      <c r="U296" s="2" t="inlineStr"/>
    </row>
    <row r="297" ht="15" customHeight="1">
      <c r="A297" t="inlineStr">
        <is>
          <t>A 47264-2023</t>
        </is>
      </c>
      <c r="B297" t="inlineStr">
        <is>
          <t>avverkningsanmälan</t>
        </is>
      </c>
      <c r="C297" t="inlineStr">
        <is>
          <t>Föryngringsavverkning</t>
        </is>
      </c>
      <c r="D297" s="1" t="n">
        <v>45197</v>
      </c>
      <c r="E297" s="1" t="n">
        <v>46216</v>
      </c>
      <c r="F297" t="inlineStr">
        <is>
          <t>BLEKINGE LÄN</t>
        </is>
      </c>
      <c r="G297" t="inlineStr">
        <is>
          <t>OLOFSTRÖM</t>
        </is>
      </c>
      <c r="I297" t="n">
        <v>6</v>
      </c>
      <c r="J297" t="n">
        <v>0</v>
      </c>
      <c r="K297" t="n">
        <v>0</v>
      </c>
      <c r="L297" t="n">
        <v>0</v>
      </c>
      <c r="M297" t="n">
        <v>0</v>
      </c>
      <c r="N297" t="n">
        <v>0</v>
      </c>
      <c r="O297" t="n">
        <v>0</v>
      </c>
      <c r="P297" t="n">
        <v>0</v>
      </c>
      <c r="Q297" t="n">
        <v>0</v>
      </c>
      <c r="R297" t="n">
        <v>0</v>
      </c>
      <c r="S297" t="n">
        <v>0</v>
      </c>
      <c r="T297" t="n">
        <v>0</v>
      </c>
      <c r="U297" s="2" t="inlineStr"/>
    </row>
    <row r="298" ht="15" customHeight="1">
      <c r="A298" t="inlineStr">
        <is>
          <t>A 61934-2025</t>
        </is>
      </c>
      <c r="B298" t="inlineStr">
        <is>
          <t>avverkningsanmälan</t>
        </is>
      </c>
      <c r="C298" t="inlineStr">
        <is>
          <t>Föryngringsavverkning</t>
        </is>
      </c>
      <c r="D298" s="1" t="n">
        <v>46003</v>
      </c>
      <c r="E298" s="1" t="n">
        <v>46216</v>
      </c>
      <c r="F298" t="inlineStr">
        <is>
          <t>BLEKINGE LÄN</t>
        </is>
      </c>
      <c r="G298" t="inlineStr">
        <is>
          <t>OLOFSTRÖM</t>
        </is>
      </c>
      <c r="I298" t="n">
        <v>8.9</v>
      </c>
      <c r="J298" t="n">
        <v>0</v>
      </c>
      <c r="K298" t="n">
        <v>0</v>
      </c>
      <c r="L298" t="n">
        <v>0</v>
      </c>
      <c r="M298" t="n">
        <v>0</v>
      </c>
      <c r="N298" t="n">
        <v>0</v>
      </c>
      <c r="O298" t="n">
        <v>0</v>
      </c>
      <c r="P298" t="n">
        <v>0</v>
      </c>
      <c r="Q298" t="n">
        <v>0</v>
      </c>
      <c r="R298" t="n">
        <v>0</v>
      </c>
      <c r="S298" t="n">
        <v>0</v>
      </c>
      <c r="T298" t="n">
        <v>0</v>
      </c>
      <c r="U298" s="2" t="inlineStr"/>
    </row>
    <row r="299" ht="15" customHeight="1">
      <c r="A299" t="inlineStr">
        <is>
          <t>A 56612-2025</t>
        </is>
      </c>
      <c r="B299" t="inlineStr">
        <is>
          <t>avverkningsanmälan</t>
        </is>
      </c>
      <c r="C299" t="inlineStr">
        <is>
          <t>Föryngringsavverkning</t>
        </is>
      </c>
      <c r="D299" s="1" t="n">
        <v>45975</v>
      </c>
      <c r="E299" s="1" t="n">
        <v>46216</v>
      </c>
      <c r="F299" t="inlineStr">
        <is>
          <t>BLEKINGE LÄN</t>
        </is>
      </c>
      <c r="G299" t="inlineStr">
        <is>
          <t>OLOFSTRÖM</t>
        </is>
      </c>
      <c r="I299" t="n">
        <v>11.7</v>
      </c>
      <c r="J299" t="n">
        <v>0</v>
      </c>
      <c r="K299" t="n">
        <v>0</v>
      </c>
      <c r="L299" t="n">
        <v>0</v>
      </c>
      <c r="M299" t="n">
        <v>0</v>
      </c>
      <c r="N299" t="n">
        <v>0</v>
      </c>
      <c r="O299" t="n">
        <v>0</v>
      </c>
      <c r="P299" t="n">
        <v>0</v>
      </c>
      <c r="Q299" t="n">
        <v>0</v>
      </c>
      <c r="R299" t="n">
        <v>0</v>
      </c>
      <c r="S299" t="n">
        <v>0</v>
      </c>
      <c r="T299" t="n">
        <v>0</v>
      </c>
      <c r="U299" s="2" t="inlineStr"/>
    </row>
    <row r="300" ht="15" customHeight="1">
      <c r="A300" t="inlineStr">
        <is>
          <t>A 21013-2026</t>
        </is>
      </c>
      <c r="B300" t="inlineStr">
        <is>
          <t>avverkningsanmälan</t>
        </is>
      </c>
      <c r="C300" t="inlineStr">
        <is>
          <t>Föryngringsavverkning</t>
        </is>
      </c>
      <c r="D300" s="1" t="n">
        <v>46143</v>
      </c>
      <c r="E300" s="1" t="n">
        <v>46216</v>
      </c>
      <c r="F300" t="inlineStr">
        <is>
          <t>BLEKINGE LÄN</t>
        </is>
      </c>
      <c r="G300" t="inlineStr">
        <is>
          <t>OLOFSTRÖM</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7461-2023</t>
        </is>
      </c>
      <c r="B301" t="inlineStr">
        <is>
          <t>avverkningsanmälan</t>
        </is>
      </c>
      <c r="C301" t="inlineStr">
        <is>
          <t>Föryngringsavverkning</t>
        </is>
      </c>
      <c r="D301" s="1" t="n">
        <v>44971</v>
      </c>
      <c r="E301" s="1" t="n">
        <v>46216</v>
      </c>
      <c r="F301" t="inlineStr">
        <is>
          <t>BLEKINGE LÄN</t>
        </is>
      </c>
      <c r="G301" t="inlineStr">
        <is>
          <t>OLOFSTRÖM</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7277-2025</t>
        </is>
      </c>
      <c r="B302" t="inlineStr">
        <is>
          <t>avverkningsanmälan</t>
        </is>
      </c>
      <c r="C302" t="inlineStr">
        <is>
          <t>Föryngringsavverkning</t>
        </is>
      </c>
      <c r="D302" s="1" t="n">
        <v>45701</v>
      </c>
      <c r="E302" s="1" t="n">
        <v>46216</v>
      </c>
      <c r="F302" t="inlineStr">
        <is>
          <t>BLEKINGE LÄN</t>
        </is>
      </c>
      <c r="G302" t="inlineStr">
        <is>
          <t>OLOFSTRÖM</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36875-2022</t>
        </is>
      </c>
      <c r="B303" t="inlineStr">
        <is>
          <t>avverkningsanmälan</t>
        </is>
      </c>
      <c r="C303" t="inlineStr">
        <is>
          <t>Föryngringsavverkning</t>
        </is>
      </c>
      <c r="D303" s="1" t="n">
        <v>44805</v>
      </c>
      <c r="E303" s="1" t="n">
        <v>46216</v>
      </c>
      <c r="F303" t="inlineStr">
        <is>
          <t>BLEKINGE LÄN</t>
        </is>
      </c>
      <c r="G303" t="inlineStr">
        <is>
          <t>OLOFSTRÖM</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70538-2021</t>
        </is>
      </c>
      <c r="B304" t="inlineStr">
        <is>
          <t>avverkningsanmälan</t>
        </is>
      </c>
      <c r="C304" t="inlineStr">
        <is>
          <t>Föryngringsavverkning</t>
        </is>
      </c>
      <c r="D304" s="1" t="n">
        <v>44536</v>
      </c>
      <c r="E304" s="1" t="n">
        <v>46216</v>
      </c>
      <c r="F304" t="inlineStr">
        <is>
          <t>BLEKINGE LÄN</t>
        </is>
      </c>
      <c r="G304" t="inlineStr">
        <is>
          <t>OLOFSTRÖM</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56078-2023</t>
        </is>
      </c>
      <c r="B305" t="inlineStr">
        <is>
          <t>avverkningsanmälan</t>
        </is>
      </c>
      <c r="C305" t="inlineStr">
        <is>
          <t>Föryngringsavverkning</t>
        </is>
      </c>
      <c r="D305" s="1" t="n">
        <v>45233</v>
      </c>
      <c r="E305" s="1" t="n">
        <v>46216</v>
      </c>
      <c r="F305" t="inlineStr">
        <is>
          <t>BLEKINGE LÄN</t>
        </is>
      </c>
      <c r="G305" t="inlineStr">
        <is>
          <t>OLOFSTRÖM</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47825-2024</t>
        </is>
      </c>
      <c r="B306" t="inlineStr">
        <is>
          <t>avverkningsanmälan</t>
        </is>
      </c>
      <c r="C306" t="inlineStr">
        <is>
          <t>Föryngringsavverkning</t>
        </is>
      </c>
      <c r="D306" s="1" t="n">
        <v>45588</v>
      </c>
      <c r="E306" s="1" t="n">
        <v>46216</v>
      </c>
      <c r="F306" t="inlineStr">
        <is>
          <t>BLEKINGE LÄN</t>
        </is>
      </c>
      <c r="G306" t="inlineStr">
        <is>
          <t>OLOFSTRÖM</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6439-2025</t>
        </is>
      </c>
      <c r="B307" t="inlineStr">
        <is>
          <t>avverkningsanmälan</t>
        </is>
      </c>
      <c r="C307" t="inlineStr">
        <is>
          <t>Föryngringsavverkning</t>
        </is>
      </c>
      <c r="D307" s="1" t="n">
        <v>45699</v>
      </c>
      <c r="E307" s="1" t="n">
        <v>46216</v>
      </c>
      <c r="F307" t="inlineStr">
        <is>
          <t>BLEKINGE LÄN</t>
        </is>
      </c>
      <c r="G307" t="inlineStr">
        <is>
          <t>OLOFSTRÖM</t>
        </is>
      </c>
      <c r="I307" t="n">
        <v>2.5</v>
      </c>
      <c r="J307" t="n">
        <v>0</v>
      </c>
      <c r="K307" t="n">
        <v>0</v>
      </c>
      <c r="L307" t="n">
        <v>0</v>
      </c>
      <c r="M307" t="n">
        <v>0</v>
      </c>
      <c r="N307" t="n">
        <v>0</v>
      </c>
      <c r="O307" t="n">
        <v>0</v>
      </c>
      <c r="P307" t="n">
        <v>0</v>
      </c>
      <c r="Q307" t="n">
        <v>0</v>
      </c>
      <c r="R307" t="n">
        <v>0</v>
      </c>
      <c r="S307" t="n">
        <v>0</v>
      </c>
      <c r="T307" t="n">
        <v>0</v>
      </c>
      <c r="U307" s="2" t="inlineStr"/>
    </row>
    <row r="308" ht="15" customHeight="1">
      <c r="A308" t="inlineStr">
        <is>
          <t>A 4538-2022</t>
        </is>
      </c>
      <c r="B308" t="inlineStr">
        <is>
          <t>avverkningsanmälan</t>
        </is>
      </c>
      <c r="C308" t="inlineStr">
        <is>
          <t>Föryngringsavverkning</t>
        </is>
      </c>
      <c r="D308" s="1" t="n">
        <v>44590</v>
      </c>
      <c r="E308" s="1" t="n">
        <v>46216</v>
      </c>
      <c r="F308" t="inlineStr">
        <is>
          <t>BLEKINGE LÄN</t>
        </is>
      </c>
      <c r="G308" t="inlineStr">
        <is>
          <t>OLOFSTRÖM</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32351-2023</t>
        </is>
      </c>
      <c r="B309" t="inlineStr">
        <is>
          <t>avverkningsanmälan</t>
        </is>
      </c>
      <c r="C309" t="inlineStr">
        <is>
          <t>Föryngringsavverkning</t>
        </is>
      </c>
      <c r="D309" s="1" t="n">
        <v>45120</v>
      </c>
      <c r="E309" s="1" t="n">
        <v>46216</v>
      </c>
      <c r="F309" t="inlineStr">
        <is>
          <t>BLEKINGE LÄN</t>
        </is>
      </c>
      <c r="G309" t="inlineStr">
        <is>
          <t>OLOFSTRÖM</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45689-2023</t>
        </is>
      </c>
      <c r="B310" t="inlineStr">
        <is>
          <t>avverkningsanmälan</t>
        </is>
      </c>
      <c r="C310" t="inlineStr">
        <is>
          <t>Föryngringsavverkning</t>
        </is>
      </c>
      <c r="D310" s="1" t="n">
        <v>45195</v>
      </c>
      <c r="E310" s="1" t="n">
        <v>46216</v>
      </c>
      <c r="F310" t="inlineStr">
        <is>
          <t>BLEKINGE LÄN</t>
        </is>
      </c>
      <c r="G310" t="inlineStr">
        <is>
          <t>OLOFSTRÖM</t>
        </is>
      </c>
      <c r="I310" t="n">
        <v>3.4</v>
      </c>
      <c r="J310" t="n">
        <v>0</v>
      </c>
      <c r="K310" t="n">
        <v>0</v>
      </c>
      <c r="L310" t="n">
        <v>0</v>
      </c>
      <c r="M310" t="n">
        <v>0</v>
      </c>
      <c r="N310" t="n">
        <v>0</v>
      </c>
      <c r="O310" t="n">
        <v>0</v>
      </c>
      <c r="P310" t="n">
        <v>0</v>
      </c>
      <c r="Q310" t="n">
        <v>0</v>
      </c>
      <c r="R310" t="n">
        <v>0</v>
      </c>
      <c r="S310" t="n">
        <v>0</v>
      </c>
      <c r="T310" t="n">
        <v>0</v>
      </c>
      <c r="U310" s="2" t="inlineStr"/>
    </row>
    <row r="311" ht="15" customHeight="1">
      <c r="A311" t="inlineStr">
        <is>
          <t>A 46591-2023</t>
        </is>
      </c>
      <c r="B311" t="inlineStr">
        <is>
          <t>avverkningsanmälan</t>
        </is>
      </c>
      <c r="C311" t="inlineStr">
        <is>
          <t>Föryngringsavverkning</t>
        </is>
      </c>
      <c r="D311" s="1" t="n">
        <v>45194</v>
      </c>
      <c r="E311" s="1" t="n">
        <v>46216</v>
      </c>
      <c r="F311" t="inlineStr">
        <is>
          <t>BLEKINGE LÄN</t>
        </is>
      </c>
      <c r="G311" t="inlineStr">
        <is>
          <t>OLOFSTRÖM</t>
        </is>
      </c>
      <c r="I311" t="n">
        <v>1.9</v>
      </c>
      <c r="J311" t="n">
        <v>0</v>
      </c>
      <c r="K311" t="n">
        <v>0</v>
      </c>
      <c r="L311" t="n">
        <v>0</v>
      </c>
      <c r="M311" t="n">
        <v>0</v>
      </c>
      <c r="N311" t="n">
        <v>0</v>
      </c>
      <c r="O311" t="n">
        <v>0</v>
      </c>
      <c r="P311" t="n">
        <v>0</v>
      </c>
      <c r="Q311" t="n">
        <v>0</v>
      </c>
      <c r="R311" t="n">
        <v>0</v>
      </c>
      <c r="S311" t="n">
        <v>0</v>
      </c>
      <c r="T311" t="n">
        <v>0</v>
      </c>
      <c r="U311" s="2" t="inlineStr"/>
    </row>
    <row r="312" ht="15" customHeight="1">
      <c r="A312" t="inlineStr">
        <is>
          <t>A 63384-2023</t>
        </is>
      </c>
      <c r="B312" t="inlineStr">
        <is>
          <t>avverkningsanmälan</t>
        </is>
      </c>
      <c r="C312" t="inlineStr">
        <is>
          <t>Föryngringsavverkning</t>
        </is>
      </c>
      <c r="D312" s="1" t="n">
        <v>45274</v>
      </c>
      <c r="E312" s="1" t="n">
        <v>46216</v>
      </c>
      <c r="F312" t="inlineStr">
        <is>
          <t>BLEKINGE LÄN</t>
        </is>
      </c>
      <c r="G312" t="inlineStr">
        <is>
          <t>OLOFSTRÖM</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63410-2023</t>
        </is>
      </c>
      <c r="B313" t="inlineStr">
        <is>
          <t>avverkningsanmälan</t>
        </is>
      </c>
      <c r="C313" t="inlineStr">
        <is>
          <t>Föryngringsavverkning</t>
        </is>
      </c>
      <c r="D313" s="1" t="n">
        <v>45274</v>
      </c>
      <c r="E313" s="1" t="n">
        <v>46216</v>
      </c>
      <c r="F313" t="inlineStr">
        <is>
          <t>BLEKINGE LÄN</t>
        </is>
      </c>
      <c r="G313" t="inlineStr">
        <is>
          <t>OLOFSTRÖM</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13083-2024</t>
        </is>
      </c>
      <c r="B314" t="inlineStr">
        <is>
          <t>avverkningsanmälan</t>
        </is>
      </c>
      <c r="C314" t="inlineStr">
        <is>
          <t>Föryngringsavverkning</t>
        </is>
      </c>
      <c r="D314" s="1" t="n">
        <v>45385</v>
      </c>
      <c r="E314" s="1" t="n">
        <v>46216</v>
      </c>
      <c r="F314" t="inlineStr">
        <is>
          <t>BLEKINGE LÄN</t>
        </is>
      </c>
      <c r="G314" t="inlineStr">
        <is>
          <t>OLOFSTRÖM</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34936-2024</t>
        </is>
      </c>
      <c r="B315" t="inlineStr">
        <is>
          <t>avverkningsanmälan</t>
        </is>
      </c>
      <c r="C315" t="inlineStr">
        <is>
          <t>Föryngringsavverkning</t>
        </is>
      </c>
      <c r="D315" s="1" t="n">
        <v>45527</v>
      </c>
      <c r="E315" s="1" t="n">
        <v>46216</v>
      </c>
      <c r="F315" t="inlineStr">
        <is>
          <t>BLEKINGE LÄN</t>
        </is>
      </c>
      <c r="G315" t="inlineStr">
        <is>
          <t>OLOFSTRÖM</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45230-2024</t>
        </is>
      </c>
      <c r="B316" t="inlineStr">
        <is>
          <t>avverkningsanmälan</t>
        </is>
      </c>
      <c r="C316" t="inlineStr">
        <is>
          <t>Föryngringsavverkning</t>
        </is>
      </c>
      <c r="D316" s="1" t="n">
        <v>45575</v>
      </c>
      <c r="E316" s="1" t="n">
        <v>46216</v>
      </c>
      <c r="F316" t="inlineStr">
        <is>
          <t>BLEKINGE LÄN</t>
        </is>
      </c>
      <c r="G316" t="inlineStr">
        <is>
          <t>OLOFSTRÖM</t>
        </is>
      </c>
      <c r="H316" t="inlineStr">
        <is>
          <t>Sveaskog</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34747-2023</t>
        </is>
      </c>
      <c r="B317" t="inlineStr">
        <is>
          <t>avverkningsanmälan</t>
        </is>
      </c>
      <c r="C317" t="inlineStr">
        <is>
          <t>Föryngringsavverkning</t>
        </is>
      </c>
      <c r="D317" s="1" t="n">
        <v>45141</v>
      </c>
      <c r="E317" s="1" t="n">
        <v>46216</v>
      </c>
      <c r="F317" t="inlineStr">
        <is>
          <t>BLEKINGE LÄN</t>
        </is>
      </c>
      <c r="G317" t="inlineStr">
        <is>
          <t>OLOFSTRÖM</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8107-2023</t>
        </is>
      </c>
      <c r="B318" t="inlineStr">
        <is>
          <t>avverkningsanmälan</t>
        </is>
      </c>
      <c r="C318" t="inlineStr">
        <is>
          <t>Föryngringsavverkning</t>
        </is>
      </c>
      <c r="D318" s="1" t="n">
        <v>44970</v>
      </c>
      <c r="E318" s="1" t="n">
        <v>46216</v>
      </c>
      <c r="F318" t="inlineStr">
        <is>
          <t>BLEKINGE LÄN</t>
        </is>
      </c>
      <c r="G318" t="inlineStr">
        <is>
          <t>OLOFSTRÖM</t>
        </is>
      </c>
      <c r="I318" t="n">
        <v>2.1</v>
      </c>
      <c r="J318" t="n">
        <v>0</v>
      </c>
      <c r="K318" t="n">
        <v>0</v>
      </c>
      <c r="L318" t="n">
        <v>0</v>
      </c>
      <c r="M318" t="n">
        <v>0</v>
      </c>
      <c r="N318" t="n">
        <v>0</v>
      </c>
      <c r="O318" t="n">
        <v>0</v>
      </c>
      <c r="P318" t="n">
        <v>0</v>
      </c>
      <c r="Q318" t="n">
        <v>0</v>
      </c>
      <c r="R318" t="n">
        <v>0</v>
      </c>
      <c r="S318" t="n">
        <v>0</v>
      </c>
      <c r="T318" t="n">
        <v>0</v>
      </c>
      <c r="U318" s="2" t="inlineStr"/>
    </row>
    <row r="319" ht="15" customHeight="1">
      <c r="A319" t="inlineStr">
        <is>
          <t>A 3475-2024</t>
        </is>
      </c>
      <c r="B319" t="inlineStr">
        <is>
          <t>avverkningsanmälan</t>
        </is>
      </c>
      <c r="C319" t="inlineStr">
        <is>
          <t>Föryngringsavverkning</t>
        </is>
      </c>
      <c r="D319" s="1" t="n">
        <v>45320</v>
      </c>
      <c r="E319" s="1" t="n">
        <v>46216</v>
      </c>
      <c r="F319" t="inlineStr">
        <is>
          <t>BLEKINGE LÄN</t>
        </is>
      </c>
      <c r="G319" t="inlineStr">
        <is>
          <t>OLOFSTRÖM</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34903-2025</t>
        </is>
      </c>
      <c r="B320" t="inlineStr">
        <is>
          <t>avverkningsanmälan</t>
        </is>
      </c>
      <c r="C320" t="inlineStr">
        <is>
          <t>Föryngringsavverkning</t>
        </is>
      </c>
      <c r="D320" s="1" t="n">
        <v>45849</v>
      </c>
      <c r="E320" s="1" t="n">
        <v>46216</v>
      </c>
      <c r="F320" t="inlineStr">
        <is>
          <t>BLEKINGE LÄN</t>
        </is>
      </c>
      <c r="G320" t="inlineStr">
        <is>
          <t>OLOFSTRÖM</t>
        </is>
      </c>
      <c r="H320" t="inlineStr">
        <is>
          <t>Övriga Aktiebolag</t>
        </is>
      </c>
      <c r="I320" t="n">
        <v>4.7</v>
      </c>
      <c r="J320" t="n">
        <v>0</v>
      </c>
      <c r="K320" t="n">
        <v>0</v>
      </c>
      <c r="L320" t="n">
        <v>0</v>
      </c>
      <c r="M320" t="n">
        <v>0</v>
      </c>
      <c r="N320" t="n">
        <v>0</v>
      </c>
      <c r="O320" t="n">
        <v>0</v>
      </c>
      <c r="P320" t="n">
        <v>0</v>
      </c>
      <c r="Q320" t="n">
        <v>0</v>
      </c>
      <c r="R320" t="n">
        <v>0</v>
      </c>
      <c r="S320" t="n">
        <v>0</v>
      </c>
      <c r="T320" t="n">
        <v>0</v>
      </c>
      <c r="U320" s="2" t="inlineStr"/>
    </row>
    <row r="321" ht="15" customHeight="1">
      <c r="A321" t="inlineStr">
        <is>
          <t>A 62677-2023</t>
        </is>
      </c>
      <c r="B321" t="inlineStr">
        <is>
          <t>avverkningsanmälan</t>
        </is>
      </c>
      <c r="C321" t="inlineStr">
        <is>
          <t>Föryngringsavverkning</t>
        </is>
      </c>
      <c r="D321" s="1" t="n">
        <v>45271</v>
      </c>
      <c r="E321" s="1" t="n">
        <v>46216</v>
      </c>
      <c r="F321" t="inlineStr">
        <is>
          <t>BLEKINGE LÄN</t>
        </is>
      </c>
      <c r="G321" t="inlineStr">
        <is>
          <t>OLOFSTRÖM</t>
        </is>
      </c>
      <c r="I321" t="n">
        <v>3.2</v>
      </c>
      <c r="J321" t="n">
        <v>0</v>
      </c>
      <c r="K321" t="n">
        <v>0</v>
      </c>
      <c r="L321" t="n">
        <v>0</v>
      </c>
      <c r="M321" t="n">
        <v>0</v>
      </c>
      <c r="N321" t="n">
        <v>0</v>
      </c>
      <c r="O321" t="n">
        <v>0</v>
      </c>
      <c r="P321" t="n">
        <v>0</v>
      </c>
      <c r="Q321" t="n">
        <v>0</v>
      </c>
      <c r="R321" t="n">
        <v>0</v>
      </c>
      <c r="S321" t="n">
        <v>0</v>
      </c>
      <c r="T321" t="n">
        <v>0</v>
      </c>
      <c r="U321" s="2" t="inlineStr"/>
    </row>
    <row r="322" ht="15" customHeight="1">
      <c r="A322" t="inlineStr">
        <is>
          <t>A 51284-2024</t>
        </is>
      </c>
      <c r="B322" t="inlineStr">
        <is>
          <t>avverkningsanmälan</t>
        </is>
      </c>
      <c r="C322" t="inlineStr">
        <is>
          <t>Föryngringsavverkning</t>
        </is>
      </c>
      <c r="D322" s="1" t="n">
        <v>45603</v>
      </c>
      <c r="E322" s="1" t="n">
        <v>46216</v>
      </c>
      <c r="F322" t="inlineStr">
        <is>
          <t>BLEKINGE LÄN</t>
        </is>
      </c>
      <c r="G322" t="inlineStr">
        <is>
          <t>OLOFSTRÖM</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29250-2026</t>
        </is>
      </c>
      <c r="B323" t="inlineStr">
        <is>
          <t>avverkningsanmälan</t>
        </is>
      </c>
      <c r="C323" t="inlineStr">
        <is>
          <t>Föryngringsavverkning</t>
        </is>
      </c>
      <c r="D323" s="1" t="n">
        <v>46202</v>
      </c>
      <c r="E323" s="1" t="n">
        <v>46216</v>
      </c>
      <c r="F323" t="inlineStr">
        <is>
          <t>BLEKINGE LÄN</t>
        </is>
      </c>
      <c r="G323" t="inlineStr">
        <is>
          <t>OLOFSTRÖM</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8040-2025</t>
        </is>
      </c>
      <c r="B324" t="inlineStr">
        <is>
          <t>avverkningsanmälan</t>
        </is>
      </c>
      <c r="C324" t="inlineStr">
        <is>
          <t>Föryngringsavverkning</t>
        </is>
      </c>
      <c r="D324" s="1" t="n">
        <v>45707</v>
      </c>
      <c r="E324" s="1" t="n">
        <v>46216</v>
      </c>
      <c r="F324" t="inlineStr">
        <is>
          <t>BLEKINGE LÄN</t>
        </is>
      </c>
      <c r="G324" t="inlineStr">
        <is>
          <t>OLOFSTRÖM</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13988-2023</t>
        </is>
      </c>
      <c r="B325" t="inlineStr">
        <is>
          <t>avverkningsanmälan</t>
        </is>
      </c>
      <c r="C325" t="inlineStr">
        <is>
          <t>Föryngringsavverkning</t>
        </is>
      </c>
      <c r="D325" s="1" t="n">
        <v>45008</v>
      </c>
      <c r="E325" s="1" t="n">
        <v>46216</v>
      </c>
      <c r="F325" t="inlineStr">
        <is>
          <t>BLEKINGE LÄN</t>
        </is>
      </c>
      <c r="G325" t="inlineStr">
        <is>
          <t>OLOFSTRÖM</t>
        </is>
      </c>
      <c r="I325" t="n">
        <v>3.2</v>
      </c>
      <c r="J325" t="n">
        <v>0</v>
      </c>
      <c r="K325" t="n">
        <v>0</v>
      </c>
      <c r="L325" t="n">
        <v>0</v>
      </c>
      <c r="M325" t="n">
        <v>0</v>
      </c>
      <c r="N325" t="n">
        <v>0</v>
      </c>
      <c r="O325" t="n">
        <v>0</v>
      </c>
      <c r="P325" t="n">
        <v>0</v>
      </c>
      <c r="Q325" t="n">
        <v>0</v>
      </c>
      <c r="R325" t="n">
        <v>0</v>
      </c>
      <c r="S325" t="n">
        <v>0</v>
      </c>
      <c r="T325" t="n">
        <v>0</v>
      </c>
      <c r="U325" s="2" t="inlineStr"/>
    </row>
    <row r="326" ht="15" customHeight="1">
      <c r="A326" t="inlineStr">
        <is>
          <t>A 28857-2023</t>
        </is>
      </c>
      <c r="B326" t="inlineStr">
        <is>
          <t>avverkningsanmälan</t>
        </is>
      </c>
      <c r="C326" t="inlineStr">
        <is>
          <t>Föryngringsavverkning</t>
        </is>
      </c>
      <c r="D326" s="1" t="n">
        <v>45104</v>
      </c>
      <c r="E326" s="1" t="n">
        <v>46216</v>
      </c>
      <c r="F326" t="inlineStr">
        <is>
          <t>BLEKINGE LÄN</t>
        </is>
      </c>
      <c r="G326" t="inlineStr">
        <is>
          <t>OLOFSTRÖM</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38886-2022</t>
        </is>
      </c>
      <c r="B327" t="inlineStr">
        <is>
          <t>avverkningsanmälan</t>
        </is>
      </c>
      <c r="C327" t="inlineStr">
        <is>
          <t>Föryngringsavverkning</t>
        </is>
      </c>
      <c r="D327" s="1" t="n">
        <v>44816</v>
      </c>
      <c r="E327" s="1" t="n">
        <v>46216</v>
      </c>
      <c r="F327" t="inlineStr">
        <is>
          <t>BLEKINGE LÄN</t>
        </is>
      </c>
      <c r="G327" t="inlineStr">
        <is>
          <t>OLOFSTRÖM</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29245-2026</t>
        </is>
      </c>
      <c r="B328" t="inlineStr">
        <is>
          <t>avverkningsanmälan</t>
        </is>
      </c>
      <c r="C328" t="inlineStr">
        <is>
          <t>Föryngringsavverkning</t>
        </is>
      </c>
      <c r="D328" s="1" t="n">
        <v>46202</v>
      </c>
      <c r="E328" s="1" t="n">
        <v>46216</v>
      </c>
      <c r="F328" t="inlineStr">
        <is>
          <t>BLEKINGE LÄN</t>
        </is>
      </c>
      <c r="G328" t="inlineStr">
        <is>
          <t>OLOFSTRÖM</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10248-2022</t>
        </is>
      </c>
      <c r="B329" t="inlineStr">
        <is>
          <t>avverkningsanmälan</t>
        </is>
      </c>
      <c r="C329" t="inlineStr">
        <is>
          <t>Föryngringsavverkning</t>
        </is>
      </c>
      <c r="D329" s="1" t="n">
        <v>44622</v>
      </c>
      <c r="E329" s="1" t="n">
        <v>46216</v>
      </c>
      <c r="F329" t="inlineStr">
        <is>
          <t>BLEKINGE LÄN</t>
        </is>
      </c>
      <c r="G329" t="inlineStr">
        <is>
          <t>OLOFSTRÖM</t>
        </is>
      </c>
      <c r="I329" t="n">
        <v>18.4</v>
      </c>
      <c r="J329" t="n">
        <v>0</v>
      </c>
      <c r="K329" t="n">
        <v>0</v>
      </c>
      <c r="L329" t="n">
        <v>0</v>
      </c>
      <c r="M329" t="n">
        <v>0</v>
      </c>
      <c r="N329" t="n">
        <v>0</v>
      </c>
      <c r="O329" t="n">
        <v>0</v>
      </c>
      <c r="P329" t="n">
        <v>0</v>
      </c>
      <c r="Q329" t="n">
        <v>0</v>
      </c>
      <c r="R329" t="n">
        <v>0</v>
      </c>
      <c r="S329" t="n">
        <v>0</v>
      </c>
      <c r="T329" t="n">
        <v>0</v>
      </c>
      <c r="U329" s="2" t="inlineStr"/>
    </row>
    <row r="330" ht="15" customHeight="1">
      <c r="A330" t="inlineStr">
        <is>
          <t>A 56107-2023</t>
        </is>
      </c>
      <c r="B330" t="inlineStr">
        <is>
          <t>avverkningsanmälan</t>
        </is>
      </c>
      <c r="C330" t="inlineStr">
        <is>
          <t>Föryngringsavverkning</t>
        </is>
      </c>
      <c r="D330" s="1" t="n">
        <v>45233</v>
      </c>
      <c r="E330" s="1" t="n">
        <v>46216</v>
      </c>
      <c r="F330" t="inlineStr">
        <is>
          <t>BLEKINGE LÄN</t>
        </is>
      </c>
      <c r="G330" t="inlineStr">
        <is>
          <t>OLOFSTRÖM</t>
        </is>
      </c>
      <c r="I330" t="n">
        <v>3.1</v>
      </c>
      <c r="J330" t="n">
        <v>0</v>
      </c>
      <c r="K330" t="n">
        <v>0</v>
      </c>
      <c r="L330" t="n">
        <v>0</v>
      </c>
      <c r="M330" t="n">
        <v>0</v>
      </c>
      <c r="N330" t="n">
        <v>0</v>
      </c>
      <c r="O330" t="n">
        <v>0</v>
      </c>
      <c r="P330" t="n">
        <v>0</v>
      </c>
      <c r="Q330" t="n">
        <v>0</v>
      </c>
      <c r="R330" t="n">
        <v>0</v>
      </c>
      <c r="S330" t="n">
        <v>0</v>
      </c>
      <c r="T330" t="n">
        <v>0</v>
      </c>
      <c r="U330" s="2" t="inlineStr"/>
    </row>
    <row r="331" ht="15" customHeight="1">
      <c r="A331" t="inlineStr">
        <is>
          <t>A 73259-2021</t>
        </is>
      </c>
      <c r="B331" t="inlineStr">
        <is>
          <t>avverkningsanmälan</t>
        </is>
      </c>
      <c r="C331" t="inlineStr">
        <is>
          <t>Föryngringsavverkning</t>
        </is>
      </c>
      <c r="D331" s="1" t="n">
        <v>44550</v>
      </c>
      <c r="E331" s="1" t="n">
        <v>46216</v>
      </c>
      <c r="F331" t="inlineStr">
        <is>
          <t>BLEKINGE LÄN</t>
        </is>
      </c>
      <c r="G331" t="inlineStr">
        <is>
          <t>OLOFSTRÖM</t>
        </is>
      </c>
      <c r="I331" t="n">
        <v>3.1</v>
      </c>
      <c r="J331" t="n">
        <v>0</v>
      </c>
      <c r="K331" t="n">
        <v>0</v>
      </c>
      <c r="L331" t="n">
        <v>0</v>
      </c>
      <c r="M331" t="n">
        <v>0</v>
      </c>
      <c r="N331" t="n">
        <v>0</v>
      </c>
      <c r="O331" t="n">
        <v>0</v>
      </c>
      <c r="P331" t="n">
        <v>0</v>
      </c>
      <c r="Q331" t="n">
        <v>0</v>
      </c>
      <c r="R331" t="n">
        <v>0</v>
      </c>
      <c r="S331" t="n">
        <v>0</v>
      </c>
      <c r="T331" t="n">
        <v>0</v>
      </c>
      <c r="U331" s="2" t="inlineStr"/>
    </row>
    <row r="332" ht="15" customHeight="1">
      <c r="A332" t="inlineStr">
        <is>
          <t>A 35097-2025</t>
        </is>
      </c>
      <c r="B332" t="inlineStr">
        <is>
          <t>avverkningsanmälan</t>
        </is>
      </c>
      <c r="C332" t="inlineStr">
        <is>
          <t>Föryngringsavverkning</t>
        </is>
      </c>
      <c r="D332" s="1" t="n">
        <v>45852</v>
      </c>
      <c r="E332" s="1" t="n">
        <v>46216</v>
      </c>
      <c r="F332" t="inlineStr">
        <is>
          <t>BLEKINGE LÄN</t>
        </is>
      </c>
      <c r="G332" t="inlineStr">
        <is>
          <t>OLOFSTRÖM</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38956-2023</t>
        </is>
      </c>
      <c r="B333" t="inlineStr">
        <is>
          <t>avverkningsanmälan</t>
        </is>
      </c>
      <c r="C333" t="inlineStr">
        <is>
          <t>Föryngringsavverkning</t>
        </is>
      </c>
      <c r="D333" s="1" t="n">
        <v>45163</v>
      </c>
      <c r="E333" s="1" t="n">
        <v>46216</v>
      </c>
      <c r="F333" t="inlineStr">
        <is>
          <t>BLEKINGE LÄN</t>
        </is>
      </c>
      <c r="G333" t="inlineStr">
        <is>
          <t>OLOFSTRÖM</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33577-2022</t>
        </is>
      </c>
      <c r="B334" t="inlineStr">
        <is>
          <t>avverkningsanmälan</t>
        </is>
      </c>
      <c r="C334" t="inlineStr">
        <is>
          <t>Föryngringsavverkning</t>
        </is>
      </c>
      <c r="D334" s="1" t="n">
        <v>44789</v>
      </c>
      <c r="E334" s="1" t="n">
        <v>46216</v>
      </c>
      <c r="F334" t="inlineStr">
        <is>
          <t>BLEKINGE LÄN</t>
        </is>
      </c>
      <c r="G334" t="inlineStr">
        <is>
          <t>OLOFSTRÖM</t>
        </is>
      </c>
      <c r="I334" t="n">
        <v>7.3</v>
      </c>
      <c r="J334" t="n">
        <v>0</v>
      </c>
      <c r="K334" t="n">
        <v>0</v>
      </c>
      <c r="L334" t="n">
        <v>0</v>
      </c>
      <c r="M334" t="n">
        <v>0</v>
      </c>
      <c r="N334" t="n">
        <v>0</v>
      </c>
      <c r="O334" t="n">
        <v>0</v>
      </c>
      <c r="P334" t="n">
        <v>0</v>
      </c>
      <c r="Q334" t="n">
        <v>0</v>
      </c>
      <c r="R334" t="n">
        <v>0</v>
      </c>
      <c r="S334" t="n">
        <v>0</v>
      </c>
      <c r="T334" t="n">
        <v>0</v>
      </c>
      <c r="U334" s="2" t="inlineStr"/>
    </row>
    <row r="335" ht="15" customHeight="1">
      <c r="A335" t="inlineStr">
        <is>
          <t>A 48846-2024</t>
        </is>
      </c>
      <c r="B335" t="inlineStr">
        <is>
          <t>avverkningsanmälan</t>
        </is>
      </c>
      <c r="C335" t="inlineStr">
        <is>
          <t>Föryngringsavverkning</t>
        </is>
      </c>
      <c r="D335" s="1" t="n">
        <v>45593</v>
      </c>
      <c r="E335" s="1" t="n">
        <v>46216</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65026-2023</t>
        </is>
      </c>
      <c r="B336" t="inlineStr">
        <is>
          <t>avverkningsanmälan</t>
        </is>
      </c>
      <c r="C336" t="inlineStr">
        <is>
          <t>Föryngringsavverkning</t>
        </is>
      </c>
      <c r="D336" s="1" t="n">
        <v>45282</v>
      </c>
      <c r="E336" s="1" t="n">
        <v>46216</v>
      </c>
      <c r="F336" t="inlineStr">
        <is>
          <t>BLEKINGE LÄN</t>
        </is>
      </c>
      <c r="G336" t="inlineStr">
        <is>
          <t>OLOFSTRÖM</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23911-2023</t>
        </is>
      </c>
      <c r="B337" t="inlineStr">
        <is>
          <t>avverkningsanmälan</t>
        </is>
      </c>
      <c r="C337" t="inlineStr">
        <is>
          <t>Föryngringsavverkning</t>
        </is>
      </c>
      <c r="D337" s="1" t="n">
        <v>45078</v>
      </c>
      <c r="E337" s="1" t="n">
        <v>46216</v>
      </c>
      <c r="F337" t="inlineStr">
        <is>
          <t>BLEKINGE LÄN</t>
        </is>
      </c>
      <c r="G337" t="inlineStr">
        <is>
          <t>OLOFSTRÖM</t>
        </is>
      </c>
      <c r="I337" t="n">
        <v>1.6</v>
      </c>
      <c r="J337" t="n">
        <v>0</v>
      </c>
      <c r="K337" t="n">
        <v>0</v>
      </c>
      <c r="L337" t="n">
        <v>0</v>
      </c>
      <c r="M337" t="n">
        <v>0</v>
      </c>
      <c r="N337" t="n">
        <v>0</v>
      </c>
      <c r="O337" t="n">
        <v>0</v>
      </c>
      <c r="P337" t="n">
        <v>0</v>
      </c>
      <c r="Q337" t="n">
        <v>0</v>
      </c>
      <c r="R337" t="n">
        <v>0</v>
      </c>
      <c r="S337" t="n">
        <v>0</v>
      </c>
      <c r="T337" t="n">
        <v>0</v>
      </c>
      <c r="U337" s="2" t="inlineStr"/>
    </row>
    <row r="338" ht="15" customHeight="1">
      <c r="A338" t="inlineStr">
        <is>
          <t>A 15384-2023</t>
        </is>
      </c>
      <c r="B338" t="inlineStr">
        <is>
          <t>avverkningsanmälan</t>
        </is>
      </c>
      <c r="C338" t="inlineStr">
        <is>
          <t>Föryngringsavverkning</t>
        </is>
      </c>
      <c r="D338" s="1" t="n">
        <v>45019</v>
      </c>
      <c r="E338" s="1" t="n">
        <v>46216</v>
      </c>
      <c r="F338" t="inlineStr">
        <is>
          <t>BLEKINGE LÄN</t>
        </is>
      </c>
      <c r="G338" t="inlineStr">
        <is>
          <t>OLOFSTRÖM</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48004-2023</t>
        </is>
      </c>
      <c r="B339" t="inlineStr">
        <is>
          <t>avverkningsanmälan</t>
        </is>
      </c>
      <c r="C339" t="inlineStr">
        <is>
          <t>Föryngringsavverkning</t>
        </is>
      </c>
      <c r="D339" s="1" t="n">
        <v>45204</v>
      </c>
      <c r="E339" s="1" t="n">
        <v>46216</v>
      </c>
      <c r="F339" t="inlineStr">
        <is>
          <t>BLEKINGE LÄN</t>
        </is>
      </c>
      <c r="G339" t="inlineStr">
        <is>
          <t>OLOFSTRÖM</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48005-2023</t>
        </is>
      </c>
      <c r="B340" t="inlineStr">
        <is>
          <t>avverkningsanmälan</t>
        </is>
      </c>
      <c r="C340" t="inlineStr">
        <is>
          <t>Föryngringsavverkning</t>
        </is>
      </c>
      <c r="D340" s="1" t="n">
        <v>45204</v>
      </c>
      <c r="E340" s="1" t="n">
        <v>46216</v>
      </c>
      <c r="F340" t="inlineStr">
        <is>
          <t>BLEKINGE LÄN</t>
        </is>
      </c>
      <c r="G340" t="inlineStr">
        <is>
          <t>OLOFSTRÖM</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59710-2024</t>
        </is>
      </c>
      <c r="B341" t="inlineStr">
        <is>
          <t>avverkningsanmälan</t>
        </is>
      </c>
      <c r="C341" t="inlineStr">
        <is>
          <t>Föryngringsavverkning</t>
        </is>
      </c>
      <c r="D341" s="1" t="n">
        <v>45639</v>
      </c>
      <c r="E341" s="1" t="n">
        <v>46216</v>
      </c>
      <c r="F341" t="inlineStr">
        <is>
          <t>BLEKINGE LÄN</t>
        </is>
      </c>
      <c r="G341" t="inlineStr">
        <is>
          <t>OLOFSTRÖM</t>
        </is>
      </c>
      <c r="I341" t="n">
        <v>6.7</v>
      </c>
      <c r="J341" t="n">
        <v>0</v>
      </c>
      <c r="K341" t="n">
        <v>0</v>
      </c>
      <c r="L341" t="n">
        <v>0</v>
      </c>
      <c r="M341" t="n">
        <v>0</v>
      </c>
      <c r="N341" t="n">
        <v>0</v>
      </c>
      <c r="O341" t="n">
        <v>0</v>
      </c>
      <c r="P341" t="n">
        <v>0</v>
      </c>
      <c r="Q341" t="n">
        <v>0</v>
      </c>
      <c r="R341" t="n">
        <v>0</v>
      </c>
      <c r="S341" t="n">
        <v>0</v>
      </c>
      <c r="T341" t="n">
        <v>0</v>
      </c>
      <c r="U341" s="2" t="inlineStr"/>
    </row>
    <row r="342" ht="15" customHeight="1">
      <c r="A342" t="inlineStr">
        <is>
          <t>A 34746-2023</t>
        </is>
      </c>
      <c r="B342" t="inlineStr">
        <is>
          <t>avverkningsanmälan</t>
        </is>
      </c>
      <c r="C342" t="inlineStr">
        <is>
          <t>Föryngringsavverkning</t>
        </is>
      </c>
      <c r="D342" s="1" t="n">
        <v>45141</v>
      </c>
      <c r="E342" s="1" t="n">
        <v>46216</v>
      </c>
      <c r="F342" t="inlineStr">
        <is>
          <t>BLEKINGE LÄN</t>
        </is>
      </c>
      <c r="G342" t="inlineStr">
        <is>
          <t>OLOFSTRÖM</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9259-2022</t>
        </is>
      </c>
      <c r="B343" t="inlineStr">
        <is>
          <t>avverkningsanmälan</t>
        </is>
      </c>
      <c r="C343" t="inlineStr">
        <is>
          <t>Föryngringsavverkning</t>
        </is>
      </c>
      <c r="D343" s="1" t="n">
        <v>44616</v>
      </c>
      <c r="E343" s="1" t="n">
        <v>46216</v>
      </c>
      <c r="F343" t="inlineStr">
        <is>
          <t>BLEKINGE LÄN</t>
        </is>
      </c>
      <c r="G343" t="inlineStr">
        <is>
          <t>OLOFSTRÖM</t>
        </is>
      </c>
      <c r="I343" t="n">
        <v>3.1</v>
      </c>
      <c r="J343" t="n">
        <v>0</v>
      </c>
      <c r="K343" t="n">
        <v>0</v>
      </c>
      <c r="L343" t="n">
        <v>0</v>
      </c>
      <c r="M343" t="n">
        <v>0</v>
      </c>
      <c r="N343" t="n">
        <v>0</v>
      </c>
      <c r="O343" t="n">
        <v>0</v>
      </c>
      <c r="P343" t="n">
        <v>0</v>
      </c>
      <c r="Q343" t="n">
        <v>0</v>
      </c>
      <c r="R343" t="n">
        <v>0</v>
      </c>
      <c r="S343" t="n">
        <v>0</v>
      </c>
      <c r="T343" t="n">
        <v>0</v>
      </c>
      <c r="U343" s="2" t="inlineStr"/>
    </row>
    <row r="344" ht="15" customHeight="1">
      <c r="A344" t="inlineStr">
        <is>
          <t>A 6681-2025</t>
        </is>
      </c>
      <c r="B344" t="inlineStr">
        <is>
          <t>avverkningsanmälan</t>
        </is>
      </c>
      <c r="C344" t="inlineStr">
        <is>
          <t>Föryngringsavverkning</t>
        </is>
      </c>
      <c r="D344" s="1" t="n">
        <v>45700</v>
      </c>
      <c r="E344" s="1" t="n">
        <v>46216</v>
      </c>
      <c r="F344" t="inlineStr">
        <is>
          <t>BLEKINGE LÄN</t>
        </is>
      </c>
      <c r="G344" t="inlineStr">
        <is>
          <t>OLOFSTRÖM</t>
        </is>
      </c>
      <c r="I344" t="n">
        <v>3.5</v>
      </c>
      <c r="J344" t="n">
        <v>0</v>
      </c>
      <c r="K344" t="n">
        <v>0</v>
      </c>
      <c r="L344" t="n">
        <v>0</v>
      </c>
      <c r="M344" t="n">
        <v>0</v>
      </c>
      <c r="N344" t="n">
        <v>0</v>
      </c>
      <c r="O344" t="n">
        <v>0</v>
      </c>
      <c r="P344" t="n">
        <v>0</v>
      </c>
      <c r="Q344" t="n">
        <v>0</v>
      </c>
      <c r="R344" t="n">
        <v>0</v>
      </c>
      <c r="S344" t="n">
        <v>0</v>
      </c>
      <c r="T344" t="n">
        <v>0</v>
      </c>
      <c r="U344" s="2" t="inlineStr"/>
    </row>
    <row r="345" ht="15" customHeight="1">
      <c r="A345" t="inlineStr">
        <is>
          <t>A 42464-2023</t>
        </is>
      </c>
      <c r="B345" t="inlineStr">
        <is>
          <t>avverkningsanmälan</t>
        </is>
      </c>
      <c r="C345" t="inlineStr">
        <is>
          <t>Föryngringsavverkning</t>
        </is>
      </c>
      <c r="D345" s="1" t="n">
        <v>45180</v>
      </c>
      <c r="E345" s="1" t="n">
        <v>46216</v>
      </c>
      <c r="F345" t="inlineStr">
        <is>
          <t>BLEKINGE LÄN</t>
        </is>
      </c>
      <c r="G345" t="inlineStr">
        <is>
          <t>OLOFSTRÖM</t>
        </is>
      </c>
      <c r="I345" t="n">
        <v>2.6</v>
      </c>
      <c r="J345" t="n">
        <v>0</v>
      </c>
      <c r="K345" t="n">
        <v>0</v>
      </c>
      <c r="L345" t="n">
        <v>0</v>
      </c>
      <c r="M345" t="n">
        <v>0</v>
      </c>
      <c r="N345" t="n">
        <v>0</v>
      </c>
      <c r="O345" t="n">
        <v>0</v>
      </c>
      <c r="P345" t="n">
        <v>0</v>
      </c>
      <c r="Q345" t="n">
        <v>0</v>
      </c>
      <c r="R345" t="n">
        <v>0</v>
      </c>
      <c r="S345" t="n">
        <v>0</v>
      </c>
      <c r="T345" t="n">
        <v>0</v>
      </c>
      <c r="U345" s="2" t="inlineStr"/>
    </row>
    <row r="346" ht="15" customHeight="1">
      <c r="A346" t="inlineStr">
        <is>
          <t>A 46820-2022</t>
        </is>
      </c>
      <c r="B346" t="inlineStr">
        <is>
          <t>avverkningsanmälan</t>
        </is>
      </c>
      <c r="C346" t="inlineStr">
        <is>
          <t>Avverkning för annat ändamål</t>
        </is>
      </c>
      <c r="D346" s="1" t="n">
        <v>44851</v>
      </c>
      <c r="E346" s="1" t="n">
        <v>46216</v>
      </c>
      <c r="F346" t="inlineStr">
        <is>
          <t>BLEKINGE LÄN</t>
        </is>
      </c>
      <c r="G346" t="inlineStr">
        <is>
          <t>OLOFSTRÖM</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24320-2026</t>
        </is>
      </c>
      <c r="B347" t="inlineStr">
        <is>
          <t>avverkningsanmälan</t>
        </is>
      </c>
      <c r="C347" t="inlineStr">
        <is>
          <t>Föryngringsavverkning</t>
        </is>
      </c>
      <c r="D347" s="1" t="n">
        <v>46169</v>
      </c>
      <c r="E347" s="1" t="n">
        <v>46216</v>
      </c>
      <c r="F347" t="inlineStr">
        <is>
          <t>BLEKINGE LÄN</t>
        </is>
      </c>
      <c r="G347" t="inlineStr">
        <is>
          <t>OLOFSTRÖM</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56660-2023</t>
        </is>
      </c>
      <c r="B348" t="inlineStr">
        <is>
          <t>avverkningsanmälan</t>
        </is>
      </c>
      <c r="C348" t="inlineStr">
        <is>
          <t>Föryngringsavverkning</t>
        </is>
      </c>
      <c r="D348" s="1" t="n">
        <v>45243</v>
      </c>
      <c r="E348" s="1" t="n">
        <v>46216</v>
      </c>
      <c r="F348" t="inlineStr">
        <is>
          <t>BLEKINGE LÄN</t>
        </is>
      </c>
      <c r="G348" t="inlineStr">
        <is>
          <t>OLOFSTRÖM</t>
        </is>
      </c>
      <c r="I348" t="n">
        <v>3.3</v>
      </c>
      <c r="J348" t="n">
        <v>0</v>
      </c>
      <c r="K348" t="n">
        <v>0</v>
      </c>
      <c r="L348" t="n">
        <v>0</v>
      </c>
      <c r="M348" t="n">
        <v>0</v>
      </c>
      <c r="N348" t="n">
        <v>0</v>
      </c>
      <c r="O348" t="n">
        <v>0</v>
      </c>
      <c r="P348" t="n">
        <v>0</v>
      </c>
      <c r="Q348" t="n">
        <v>0</v>
      </c>
      <c r="R348" t="n">
        <v>0</v>
      </c>
      <c r="S348" t="n">
        <v>0</v>
      </c>
      <c r="T348" t="n">
        <v>0</v>
      </c>
      <c r="U348" s="2" t="inlineStr"/>
    </row>
    <row r="349" ht="15" customHeight="1">
      <c r="A349" t="inlineStr">
        <is>
          <t>A 62246-2022</t>
        </is>
      </c>
      <c r="B349" t="inlineStr">
        <is>
          <t>avverkningsanmälan</t>
        </is>
      </c>
      <c r="C349" t="inlineStr">
        <is>
          <t>Föryngringsavverkning</t>
        </is>
      </c>
      <c r="D349" s="1" t="n">
        <v>44922</v>
      </c>
      <c r="E349" s="1" t="n">
        <v>46216</v>
      </c>
      <c r="F349" t="inlineStr">
        <is>
          <t>BLEKINGE LÄN</t>
        </is>
      </c>
      <c r="G349" t="inlineStr">
        <is>
          <t>OLOFSTRÖM</t>
        </is>
      </c>
      <c r="I349" t="n">
        <v>4.5</v>
      </c>
      <c r="J349" t="n">
        <v>0</v>
      </c>
      <c r="K349" t="n">
        <v>0</v>
      </c>
      <c r="L349" t="n">
        <v>0</v>
      </c>
      <c r="M349" t="n">
        <v>0</v>
      </c>
      <c r="N349" t="n">
        <v>0</v>
      </c>
      <c r="O349" t="n">
        <v>0</v>
      </c>
      <c r="P349" t="n">
        <v>0</v>
      </c>
      <c r="Q349" t="n">
        <v>0</v>
      </c>
      <c r="R349" t="n">
        <v>0</v>
      </c>
      <c r="S349" t="n">
        <v>0</v>
      </c>
      <c r="T349" t="n">
        <v>0</v>
      </c>
      <c r="U349" s="2" t="inlineStr"/>
    </row>
    <row r="350" ht="15" customHeight="1">
      <c r="A350" t="inlineStr">
        <is>
          <t>A 13765-2026</t>
        </is>
      </c>
      <c r="B350" t="inlineStr">
        <is>
          <t>avverkningsanmälan</t>
        </is>
      </c>
      <c r="C350" t="inlineStr">
        <is>
          <t>Föryngringsavverkning</t>
        </is>
      </c>
      <c r="D350" s="1" t="n">
        <v>46097</v>
      </c>
      <c r="E350" s="1" t="n">
        <v>46216</v>
      </c>
      <c r="F350" t="inlineStr">
        <is>
          <t>BLEKINGE LÄN</t>
        </is>
      </c>
      <c r="G350" t="inlineStr">
        <is>
          <t>OLOFSTRÖM</t>
        </is>
      </c>
      <c r="H350" t="inlineStr">
        <is>
          <t>Övriga Aktiebolag</t>
        </is>
      </c>
      <c r="I350" t="n">
        <v>3</v>
      </c>
      <c r="J350" t="n">
        <v>0</v>
      </c>
      <c r="K350" t="n">
        <v>0</v>
      </c>
      <c r="L350" t="n">
        <v>0</v>
      </c>
      <c r="M350" t="n">
        <v>0</v>
      </c>
      <c r="N350" t="n">
        <v>0</v>
      </c>
      <c r="O350" t="n">
        <v>0</v>
      </c>
      <c r="P350" t="n">
        <v>0</v>
      </c>
      <c r="Q350" t="n">
        <v>0</v>
      </c>
      <c r="R350" t="n">
        <v>0</v>
      </c>
      <c r="S350" t="n">
        <v>0</v>
      </c>
      <c r="T350" t="n">
        <v>0</v>
      </c>
      <c r="U350" s="2" t="inlineStr"/>
    </row>
    <row r="351" ht="15" customHeight="1">
      <c r="A351" t="inlineStr">
        <is>
          <t>A 8235-2023</t>
        </is>
      </c>
      <c r="B351" t="inlineStr">
        <is>
          <t>avverkningsanmälan</t>
        </is>
      </c>
      <c r="C351" t="inlineStr">
        <is>
          <t>Föryngringsavverkning</t>
        </is>
      </c>
      <c r="D351" s="1" t="n">
        <v>44974</v>
      </c>
      <c r="E351" s="1" t="n">
        <v>46216</v>
      </c>
      <c r="F351" t="inlineStr">
        <is>
          <t>BLEKINGE LÄN</t>
        </is>
      </c>
      <c r="G351" t="inlineStr">
        <is>
          <t>OLOFSTRÖM</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8238-2023</t>
        </is>
      </c>
      <c r="B352" t="inlineStr">
        <is>
          <t>avverkningsanmälan</t>
        </is>
      </c>
      <c r="C352" t="inlineStr">
        <is>
          <t>Föryngringsavverkning</t>
        </is>
      </c>
      <c r="D352" s="1" t="n">
        <v>44974</v>
      </c>
      <c r="E352" s="1" t="n">
        <v>46216</v>
      </c>
      <c r="F352" t="inlineStr">
        <is>
          <t>BLEKINGE LÄN</t>
        </is>
      </c>
      <c r="G352" t="inlineStr">
        <is>
          <t>OLOFSTRÖM</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11141-2025</t>
        </is>
      </c>
      <c r="B353" t="inlineStr">
        <is>
          <t>avverkningsanmälan</t>
        </is>
      </c>
      <c r="C353" t="inlineStr">
        <is>
          <t>Föryngringsavverkning</t>
        </is>
      </c>
      <c r="D353" s="1" t="n">
        <v>45723</v>
      </c>
      <c r="E353" s="1" t="n">
        <v>46216</v>
      </c>
      <c r="F353" t="inlineStr">
        <is>
          <t>BLEKINGE LÄN</t>
        </is>
      </c>
      <c r="G353" t="inlineStr">
        <is>
          <t>OLOFSTRÖM</t>
        </is>
      </c>
      <c r="I353" t="n">
        <v>0.1</v>
      </c>
      <c r="J353" t="n">
        <v>0</v>
      </c>
      <c r="K353" t="n">
        <v>0</v>
      </c>
      <c r="L353" t="n">
        <v>0</v>
      </c>
      <c r="M353" t="n">
        <v>0</v>
      </c>
      <c r="N353" t="n">
        <v>0</v>
      </c>
      <c r="O353" t="n">
        <v>0</v>
      </c>
      <c r="P353" t="n">
        <v>0</v>
      </c>
      <c r="Q353" t="n">
        <v>0</v>
      </c>
      <c r="R353" t="n">
        <v>0</v>
      </c>
      <c r="S353" t="n">
        <v>0</v>
      </c>
      <c r="T353" t="n">
        <v>0</v>
      </c>
      <c r="U353" s="2" t="inlineStr"/>
    </row>
    <row r="354" ht="15" customHeight="1">
      <c r="A354" t="inlineStr">
        <is>
          <t>A 43814-2024</t>
        </is>
      </c>
      <c r="B354" t="inlineStr">
        <is>
          <t>avverkningsanmälan</t>
        </is>
      </c>
      <c r="C354" t="inlineStr">
        <is>
          <t>Föryngringsavverkning</t>
        </is>
      </c>
      <c r="D354" s="1" t="n">
        <v>45571</v>
      </c>
      <c r="E354" s="1" t="n">
        <v>46216</v>
      </c>
      <c r="F354" t="inlineStr">
        <is>
          <t>BLEKINGE LÄN</t>
        </is>
      </c>
      <c r="G354" t="inlineStr">
        <is>
          <t>OLOFSTRÖM</t>
        </is>
      </c>
      <c r="H354" t="inlineStr">
        <is>
          <t>Sveaskog</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16787-2023</t>
        </is>
      </c>
      <c r="B355" t="inlineStr">
        <is>
          <t>avverkningsanmälan</t>
        </is>
      </c>
      <c r="C355" t="inlineStr">
        <is>
          <t>Avverkning för annat ändamål</t>
        </is>
      </c>
      <c r="D355" s="1" t="n">
        <v>45032</v>
      </c>
      <c r="E355" s="1" t="n">
        <v>46216</v>
      </c>
      <c r="F355" t="inlineStr">
        <is>
          <t>BLEKINGE LÄN</t>
        </is>
      </c>
      <c r="G355" t="inlineStr">
        <is>
          <t>OLOFSTRÖM</t>
        </is>
      </c>
      <c r="I355" t="n">
        <v>0.2</v>
      </c>
      <c r="J355" t="n">
        <v>0</v>
      </c>
      <c r="K355" t="n">
        <v>0</v>
      </c>
      <c r="L355" t="n">
        <v>0</v>
      </c>
      <c r="M355" t="n">
        <v>0</v>
      </c>
      <c r="N355" t="n">
        <v>0</v>
      </c>
      <c r="O355" t="n">
        <v>0</v>
      </c>
      <c r="P355" t="n">
        <v>0</v>
      </c>
      <c r="Q355" t="n">
        <v>0</v>
      </c>
      <c r="R355" t="n">
        <v>0</v>
      </c>
      <c r="S355" t="n">
        <v>0</v>
      </c>
      <c r="T355" t="n">
        <v>0</v>
      </c>
      <c r="U355" s="2" t="inlineStr"/>
    </row>
    <row r="356" ht="15" customHeight="1">
      <c r="A356" t="inlineStr">
        <is>
          <t>A 3477-2024</t>
        </is>
      </c>
      <c r="B356" t="inlineStr">
        <is>
          <t>avverkningsanmälan</t>
        </is>
      </c>
      <c r="C356" t="inlineStr">
        <is>
          <t>Föryngringsavverkning</t>
        </is>
      </c>
      <c r="D356" s="1" t="n">
        <v>45320</v>
      </c>
      <c r="E356" s="1" t="n">
        <v>46216</v>
      </c>
      <c r="F356" t="inlineStr">
        <is>
          <t>BLEKINGE LÄN</t>
        </is>
      </c>
      <c r="G356" t="inlineStr">
        <is>
          <t>OLOFSTRÖM</t>
        </is>
      </c>
      <c r="I356" t="n">
        <v>2.4</v>
      </c>
      <c r="J356" t="n">
        <v>0</v>
      </c>
      <c r="K356" t="n">
        <v>0</v>
      </c>
      <c r="L356" t="n">
        <v>0</v>
      </c>
      <c r="M356" t="n">
        <v>0</v>
      </c>
      <c r="N356" t="n">
        <v>0</v>
      </c>
      <c r="O356" t="n">
        <v>0</v>
      </c>
      <c r="P356" t="n">
        <v>0</v>
      </c>
      <c r="Q356" t="n">
        <v>0</v>
      </c>
      <c r="R356" t="n">
        <v>0</v>
      </c>
      <c r="S356" t="n">
        <v>0</v>
      </c>
      <c r="T356" t="n">
        <v>0</v>
      </c>
      <c r="U356" s="2" t="inlineStr"/>
    </row>
    <row r="357" ht="15" customHeight="1">
      <c r="A357" t="inlineStr">
        <is>
          <t>A 48933-2024</t>
        </is>
      </c>
      <c r="B357" t="inlineStr">
        <is>
          <t>avverkningsanmälan</t>
        </is>
      </c>
      <c r="C357" t="inlineStr">
        <is>
          <t>Föryngringsavverkning</t>
        </is>
      </c>
      <c r="D357" s="1" t="n">
        <v>45594</v>
      </c>
      <c r="E357" s="1" t="n">
        <v>46216</v>
      </c>
      <c r="F357" t="inlineStr">
        <is>
          <t>BLEKINGE LÄN</t>
        </is>
      </c>
      <c r="G357" t="inlineStr">
        <is>
          <t>OLOFSTRÖM</t>
        </is>
      </c>
      <c r="I357" t="n">
        <v>8.300000000000001</v>
      </c>
      <c r="J357" t="n">
        <v>0</v>
      </c>
      <c r="K357" t="n">
        <v>0</v>
      </c>
      <c r="L357" t="n">
        <v>0</v>
      </c>
      <c r="M357" t="n">
        <v>0</v>
      </c>
      <c r="N357" t="n">
        <v>0</v>
      </c>
      <c r="O357" t="n">
        <v>0</v>
      </c>
      <c r="P357" t="n">
        <v>0</v>
      </c>
      <c r="Q357" t="n">
        <v>0</v>
      </c>
      <c r="R357" t="n">
        <v>0</v>
      </c>
      <c r="S357" t="n">
        <v>0</v>
      </c>
      <c r="T357" t="n">
        <v>0</v>
      </c>
      <c r="U357" s="2" t="inlineStr"/>
    </row>
    <row r="358" ht="15" customHeight="1">
      <c r="A358" t="inlineStr">
        <is>
          <t>A 50709-2024</t>
        </is>
      </c>
      <c r="B358" t="inlineStr">
        <is>
          <t>avverkningsanmälan</t>
        </is>
      </c>
      <c r="C358" t="inlineStr">
        <is>
          <t>Föryngringsavverkning</t>
        </is>
      </c>
      <c r="D358" s="1" t="n">
        <v>45602</v>
      </c>
      <c r="E358" s="1" t="n">
        <v>46216</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5552-2025</t>
        </is>
      </c>
      <c r="B359" t="inlineStr">
        <is>
          <t>avverkningsanmälan</t>
        </is>
      </c>
      <c r="C359" t="inlineStr">
        <is>
          <t>Föryngringsavverkning</t>
        </is>
      </c>
      <c r="D359" s="1" t="n">
        <v>45693</v>
      </c>
      <c r="E359" s="1" t="n">
        <v>46216</v>
      </c>
      <c r="F359" t="inlineStr">
        <is>
          <t>BLEKINGE LÄN</t>
        </is>
      </c>
      <c r="G359" t="inlineStr">
        <is>
          <t>OLOFSTRÖM</t>
        </is>
      </c>
      <c r="I359" t="n">
        <v>0.3</v>
      </c>
      <c r="J359" t="n">
        <v>0</v>
      </c>
      <c r="K359" t="n">
        <v>0</v>
      </c>
      <c r="L359" t="n">
        <v>0</v>
      </c>
      <c r="M359" t="n">
        <v>0</v>
      </c>
      <c r="N359" t="n">
        <v>0</v>
      </c>
      <c r="O359" t="n">
        <v>0</v>
      </c>
      <c r="P359" t="n">
        <v>0</v>
      </c>
      <c r="Q359" t="n">
        <v>0</v>
      </c>
      <c r="R359" t="n">
        <v>0</v>
      </c>
      <c r="S359" t="n">
        <v>0</v>
      </c>
      <c r="T359" t="n">
        <v>0</v>
      </c>
      <c r="U359" s="2" t="inlineStr"/>
    </row>
    <row r="360" ht="15" customHeight="1">
      <c r="A360" t="inlineStr">
        <is>
          <t>A 30740-2023</t>
        </is>
      </c>
      <c r="B360" t="inlineStr">
        <is>
          <t>avverkningsanmälan</t>
        </is>
      </c>
      <c r="C360" t="inlineStr">
        <is>
          <t>Föryngringsavverkning</t>
        </is>
      </c>
      <c r="D360" s="1" t="n">
        <v>45112</v>
      </c>
      <c r="E360" s="1" t="n">
        <v>46216</v>
      </c>
      <c r="F360" t="inlineStr">
        <is>
          <t>BLEKINGE LÄN</t>
        </is>
      </c>
      <c r="G360" t="inlineStr">
        <is>
          <t>OLOFSTRÖM</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10630-2023</t>
        </is>
      </c>
      <c r="B361" t="inlineStr">
        <is>
          <t>avverkningsanmälan</t>
        </is>
      </c>
      <c r="C361" t="inlineStr">
        <is>
          <t>Föryngringsavverkning</t>
        </is>
      </c>
      <c r="D361" s="1" t="n">
        <v>44984</v>
      </c>
      <c r="E361" s="1" t="n">
        <v>46216</v>
      </c>
      <c r="F361" t="inlineStr">
        <is>
          <t>BLEKINGE LÄN</t>
        </is>
      </c>
      <c r="G361" t="inlineStr">
        <is>
          <t>OLOFSTRÖM</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65035-2023</t>
        </is>
      </c>
      <c r="B362" t="inlineStr">
        <is>
          <t>avverkningsanmälan</t>
        </is>
      </c>
      <c r="C362" t="inlineStr">
        <is>
          <t>Föryngringsavverkning</t>
        </is>
      </c>
      <c r="D362" s="1" t="n">
        <v>45282</v>
      </c>
      <c r="E362" s="1" t="n">
        <v>46216</v>
      </c>
      <c r="F362" t="inlineStr">
        <is>
          <t>BLEKINGE LÄN</t>
        </is>
      </c>
      <c r="G362" t="inlineStr">
        <is>
          <t>OLOFSTRÖM</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32008-2023</t>
        </is>
      </c>
      <c r="B363" t="inlineStr">
        <is>
          <t>avverkningsanmälan</t>
        </is>
      </c>
      <c r="C363" t="inlineStr">
        <is>
          <t>Föryngringsavverkning</t>
        </is>
      </c>
      <c r="D363" s="1" t="n">
        <v>45107</v>
      </c>
      <c r="E363" s="1" t="n">
        <v>46216</v>
      </c>
      <c r="F363" t="inlineStr">
        <is>
          <t>BLEKINGE LÄN</t>
        </is>
      </c>
      <c r="G363" t="inlineStr">
        <is>
          <t>OLOFSTRÖM</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6421-2024</t>
        </is>
      </c>
      <c r="B364" t="inlineStr">
        <is>
          <t>avverkningsanmälan</t>
        </is>
      </c>
      <c r="C364" t="inlineStr">
        <is>
          <t>Föryngringsavverkning</t>
        </is>
      </c>
      <c r="D364" s="1" t="n">
        <v>45338</v>
      </c>
      <c r="E364" s="1" t="n">
        <v>46216</v>
      </c>
      <c r="F364" t="inlineStr">
        <is>
          <t>BLEKINGE LÄN</t>
        </is>
      </c>
      <c r="G364" t="inlineStr">
        <is>
          <t>OLOFSTRÖM</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5805-2025</t>
        </is>
      </c>
      <c r="B365" t="inlineStr">
        <is>
          <t>avverkningsanmälan</t>
        </is>
      </c>
      <c r="C365" t="inlineStr">
        <is>
          <t>Föryngringsavverkning</t>
        </is>
      </c>
      <c r="D365" s="1" t="n">
        <v>45694</v>
      </c>
      <c r="E365" s="1" t="n">
        <v>46216</v>
      </c>
      <c r="F365" t="inlineStr">
        <is>
          <t>BLEKINGE LÄN</t>
        </is>
      </c>
      <c r="G365" t="inlineStr">
        <is>
          <t>OLOFSTRÖM</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11305-2025</t>
        </is>
      </c>
      <c r="B366" t="inlineStr">
        <is>
          <t>avverkningsanmälan</t>
        </is>
      </c>
      <c r="C366" t="inlineStr">
        <is>
          <t>Föryngringsavverkning</t>
        </is>
      </c>
      <c r="D366" s="1" t="n">
        <v>45726</v>
      </c>
      <c r="E366" s="1" t="n">
        <v>46216</v>
      </c>
      <c r="F366" t="inlineStr">
        <is>
          <t>BLEKINGE LÄN</t>
        </is>
      </c>
      <c r="G366" t="inlineStr">
        <is>
          <t>OLOFSTRÖM</t>
        </is>
      </c>
      <c r="I366" t="n">
        <v>3.1</v>
      </c>
      <c r="J366" t="n">
        <v>0</v>
      </c>
      <c r="K366" t="n">
        <v>0</v>
      </c>
      <c r="L366" t="n">
        <v>0</v>
      </c>
      <c r="M366" t="n">
        <v>0</v>
      </c>
      <c r="N366" t="n">
        <v>0</v>
      </c>
      <c r="O366" t="n">
        <v>0</v>
      </c>
      <c r="P366" t="n">
        <v>0</v>
      </c>
      <c r="Q366" t="n">
        <v>0</v>
      </c>
      <c r="R366" t="n">
        <v>0</v>
      </c>
      <c r="S366" t="n">
        <v>0</v>
      </c>
      <c r="T366" t="n">
        <v>0</v>
      </c>
      <c r="U366" s="2" t="inlineStr"/>
    </row>
    <row r="367" ht="15" customHeight="1">
      <c r="A367" t="inlineStr">
        <is>
          <t>A 46920-2024</t>
        </is>
      </c>
      <c r="B367" t="inlineStr">
        <is>
          <t>avverkningsanmälan</t>
        </is>
      </c>
      <c r="C367" t="inlineStr">
        <is>
          <t>Föryngringsavverkning</t>
        </is>
      </c>
      <c r="D367" s="1" t="n">
        <v>45583</v>
      </c>
      <c r="E367" s="1" t="n">
        <v>46216</v>
      </c>
      <c r="F367" t="inlineStr">
        <is>
          <t>BLEKINGE LÄN</t>
        </is>
      </c>
      <c r="G367" t="inlineStr">
        <is>
          <t>OLOFSTRÖM</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6442-2024</t>
        </is>
      </c>
      <c r="B368" t="inlineStr">
        <is>
          <t>avverkningsanmälan</t>
        </is>
      </c>
      <c r="C368" t="inlineStr">
        <is>
          <t>Föryngringsavverkning</t>
        </is>
      </c>
      <c r="D368" s="1" t="n">
        <v>45338</v>
      </c>
      <c r="E368" s="1" t="n">
        <v>46216</v>
      </c>
      <c r="F368" t="inlineStr">
        <is>
          <t>BLEKINGE LÄN</t>
        </is>
      </c>
      <c r="G368" t="inlineStr">
        <is>
          <t>OLOFSTRÖM</t>
        </is>
      </c>
      <c r="H368" t="inlineStr">
        <is>
          <t>Övriga Aktiebolag</t>
        </is>
      </c>
      <c r="I368" t="n">
        <v>4.1</v>
      </c>
      <c r="J368" t="n">
        <v>0</v>
      </c>
      <c r="K368" t="n">
        <v>0</v>
      </c>
      <c r="L368" t="n">
        <v>0</v>
      </c>
      <c r="M368" t="n">
        <v>0</v>
      </c>
      <c r="N368" t="n">
        <v>0</v>
      </c>
      <c r="O368" t="n">
        <v>0</v>
      </c>
      <c r="P368" t="n">
        <v>0</v>
      </c>
      <c r="Q368" t="n">
        <v>0</v>
      </c>
      <c r="R368" t="n">
        <v>0</v>
      </c>
      <c r="S368" t="n">
        <v>0</v>
      </c>
      <c r="T368" t="n">
        <v>0</v>
      </c>
      <c r="U368" s="2" t="inlineStr"/>
    </row>
    <row r="369" ht="15" customHeight="1">
      <c r="A369" t="inlineStr">
        <is>
          <t>A 6270-2025</t>
        </is>
      </c>
      <c r="B369" t="inlineStr">
        <is>
          <t>avverkningsanmälan</t>
        </is>
      </c>
      <c r="C369" t="inlineStr">
        <is>
          <t>Föryngringsavverkning</t>
        </is>
      </c>
      <c r="D369" s="1" t="n">
        <v>45698</v>
      </c>
      <c r="E369" s="1" t="n">
        <v>46216</v>
      </c>
      <c r="F369" t="inlineStr">
        <is>
          <t>BLEKINGE LÄN</t>
        </is>
      </c>
      <c r="G369" t="inlineStr">
        <is>
          <t>OLOFSTRÖM</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12788-2025</t>
        </is>
      </c>
      <c r="B370" t="inlineStr">
        <is>
          <t>avverkningsanmälan</t>
        </is>
      </c>
      <c r="C370" t="inlineStr">
        <is>
          <t>Föryngringsavverkning</t>
        </is>
      </c>
      <c r="D370" s="1" t="n">
        <v>45733</v>
      </c>
      <c r="E370" s="1" t="n">
        <v>46216</v>
      </c>
      <c r="F370" t="inlineStr">
        <is>
          <t>BLEKINGE LÄN</t>
        </is>
      </c>
      <c r="G370" t="inlineStr">
        <is>
          <t>OLOFSTRÖM</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24253-2025</t>
        </is>
      </c>
      <c r="B371" t="inlineStr">
        <is>
          <t>avverkningsanmälan</t>
        </is>
      </c>
      <c r="C371" t="inlineStr">
        <is>
          <t>Föryngringsavverkning</t>
        </is>
      </c>
      <c r="D371" s="1" t="n">
        <v>45796</v>
      </c>
      <c r="E371" s="1" t="n">
        <v>46216</v>
      </c>
      <c r="F371" t="inlineStr">
        <is>
          <t>BLEKINGE LÄN</t>
        </is>
      </c>
      <c r="G371" t="inlineStr">
        <is>
          <t>OLOFSTRÖM</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46216</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46216</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46216</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46216</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46216</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46216</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46216</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46216</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46216</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2026-07-13T14:48:32Z</dcterms:created>
  <dcterms:modified xmlns:dcterms="http://purl.org/dc/terms/" xmlns:xsi="http://www.w3.org/2001/XMLSchema-instance" xsi:type="dcterms:W3CDTF">2026-07-13T14:48:33Z</dcterms:modified>
</cp:coreProperties>
</file>