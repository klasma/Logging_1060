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46222</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46222</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46222</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46222</v>
      </c>
      <c r="F6" t="inlineStr">
        <is>
          <t>BLEKINGE LÄN</t>
        </is>
      </c>
      <c r="G6" t="inlineStr">
        <is>
          <t>OLOFSTRÖM</t>
        </is>
      </c>
      <c r="I6" t="n">
        <v>2</v>
      </c>
      <c r="J6" t="n">
        <v>0</v>
      </c>
      <c r="K6" t="n">
        <v>1</v>
      </c>
      <c r="L6" t="n">
        <v>1</v>
      </c>
      <c r="M6" t="n">
        <v>0</v>
      </c>
      <c r="N6" t="n">
        <v>1</v>
      </c>
      <c r="O6" t="n">
        <v>0</v>
      </c>
      <c r="P6" t="n">
        <v>0</v>
      </c>
      <c r="Q6" t="n">
        <v>2</v>
      </c>
      <c r="R6" t="n">
        <v>1</v>
      </c>
      <c r="S6" t="n">
        <v>3</v>
      </c>
      <c r="T6" t="n">
        <v>3</v>
      </c>
      <c r="U6" s="2" t="inlineStr">
        <is>
          <t>Ask
Lunglav
Platt fjädermossa</t>
        </is>
      </c>
      <c r="V6">
        <f>HYPERLINK("https://klasma.github.io/Logging_1060/artfynd/A 57229-2024 artfynd.xlsx", "A 57229-2024")</f>
        <v/>
      </c>
      <c r="W6">
        <f>HYPERLINK("https://klasma.github.io/Logging_1060/kartor/A 57229-2024 karta.png", "A 57229-2024")</f>
        <v/>
      </c>
      <c r="Y6">
        <f>HYPERLINK("https://klasma.github.io/Logging_1060/klagomål/A 57229-2024 FSC-klagomål.docx", "A 57229-2024")</f>
        <v/>
      </c>
      <c r="Z6">
        <f>HYPERLINK("https://klasma.github.io/Logging_1060/klagomålsmail/A 57229-2024 FSC-klagomål mail.docx", "A 57229-2024")</f>
        <v/>
      </c>
      <c r="AA6">
        <f>HYPERLINK("https://klasma.github.io/Logging_1060/tillsyn/A 57229-2024 tillsynsbegäran.docx", "A 57229-2024")</f>
        <v/>
      </c>
      <c r="AB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46222</v>
      </c>
      <c r="F7" t="inlineStr">
        <is>
          <t>BLEKINGE LÄN</t>
        </is>
      </c>
      <c r="G7" t="inlineStr">
        <is>
          <t>OLOFSTRÖM</t>
        </is>
      </c>
      <c r="I7" t="n">
        <v>2.3</v>
      </c>
      <c r="J7" t="n">
        <v>1</v>
      </c>
      <c r="K7" t="n">
        <v>1</v>
      </c>
      <c r="L7" t="n">
        <v>0</v>
      </c>
      <c r="M7" t="n">
        <v>1</v>
      </c>
      <c r="N7" t="n">
        <v>0</v>
      </c>
      <c r="O7" t="n">
        <v>0</v>
      </c>
      <c r="P7" t="n">
        <v>0</v>
      </c>
      <c r="Q7" t="n">
        <v>1</v>
      </c>
      <c r="R7" t="n">
        <v>1</v>
      </c>
      <c r="S7" t="n">
        <v>3</v>
      </c>
      <c r="T7" t="n">
        <v>4</v>
      </c>
      <c r="U7" s="2" t="inlineStr">
        <is>
          <t>Småvänderot
Skogsbräsma
Revlummer</t>
        </is>
      </c>
      <c r="V7">
        <f>HYPERLINK("https://klasma.github.io/Logging_1060/artfynd/A 547-2026 artfynd.xlsx", "A 547-2026")</f>
        <v/>
      </c>
      <c r="W7">
        <f>HYPERLINK("https://klasma.github.io/Logging_1060/kartor/A 547-2026 karta.png", "A 547-2026")</f>
        <v/>
      </c>
      <c r="Y7">
        <f>HYPERLINK("https://klasma.github.io/Logging_1060/klagomål/A 547-2026 FSC-klagomål.docx", "A 547-2026")</f>
        <v/>
      </c>
      <c r="Z7">
        <f>HYPERLINK("https://klasma.github.io/Logging_1060/klagomålsmail/A 547-2026 FSC-klagomål mail.docx", "A 547-2026")</f>
        <v/>
      </c>
      <c r="AA7">
        <f>HYPERLINK("https://klasma.github.io/Logging_1060/tillsyn/A 547-2026 tillsynsbegäran.docx", "A 547-2026")</f>
        <v/>
      </c>
      <c r="AB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46222</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s="2" t="inlineStr">
        <is>
          <t>Igelkott
Kungsfiskare
Utter</t>
        </is>
      </c>
      <c r="V8">
        <f>HYPERLINK("https://klasma.github.io/Logging_1060/artfynd/A 62747-2023 artfynd.xlsx", "A 62747-2023")</f>
        <v/>
      </c>
      <c r="W8">
        <f>HYPERLINK("https://klasma.github.io/Logging_1060/kartor/A 62747-2023 karta.png", "A 62747-2023")</f>
        <v/>
      </c>
      <c r="Y8">
        <f>HYPERLINK("https://klasma.github.io/Logging_1060/klagomål/A 62747-2023 FSC-klagomål.docx", "A 62747-2023")</f>
        <v/>
      </c>
      <c r="Z8">
        <f>HYPERLINK("https://klasma.github.io/Logging_1060/klagomålsmail/A 62747-2023 FSC-klagomål mail.docx", "A 62747-2023")</f>
        <v/>
      </c>
      <c r="AA8">
        <f>HYPERLINK("https://klasma.github.io/Logging_1060/tillsyn/A 62747-2023 tillsynsbegäran.docx", "A 62747-2023")</f>
        <v/>
      </c>
      <c r="AB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46222</v>
      </c>
      <c r="F9" t="inlineStr">
        <is>
          <t>BLEKINGE LÄN</t>
        </is>
      </c>
      <c r="G9" t="inlineStr">
        <is>
          <t>OLOFSTRÖM</t>
        </is>
      </c>
      <c r="I9" t="n">
        <v>1</v>
      </c>
      <c r="J9" t="n">
        <v>0</v>
      </c>
      <c r="K9" t="n">
        <v>1</v>
      </c>
      <c r="L9" t="n">
        <v>1</v>
      </c>
      <c r="M9" t="n">
        <v>1</v>
      </c>
      <c r="N9" t="n">
        <v>0</v>
      </c>
      <c r="O9" t="n">
        <v>0</v>
      </c>
      <c r="P9" t="n">
        <v>0</v>
      </c>
      <c r="Q9" t="n">
        <v>2</v>
      </c>
      <c r="R9" t="n">
        <v>1</v>
      </c>
      <c r="S9" t="n">
        <v>3</v>
      </c>
      <c r="T9" t="n">
        <v>4</v>
      </c>
      <c r="U9" s="2" t="inlineStr">
        <is>
          <t>Småvänderot
Gullpudra
Stenporella</t>
        </is>
      </c>
      <c r="V9">
        <f>HYPERLINK("https://klasma.github.io/Logging_1060/artfynd/A 39568-2021 artfynd.xlsx", "A 39568-2021")</f>
        <v/>
      </c>
      <c r="W9">
        <f>HYPERLINK("https://klasma.github.io/Logging_1060/kartor/A 39568-2021 karta.png", "A 39568-2021")</f>
        <v/>
      </c>
      <c r="Y9">
        <f>HYPERLINK("https://klasma.github.io/Logging_1060/klagomål/A 39568-2021 FSC-klagomål.docx", "A 39568-2021")</f>
        <v/>
      </c>
      <c r="Z9">
        <f>HYPERLINK("https://klasma.github.io/Logging_1060/klagomålsmail/A 39568-2021 FSC-klagomål mail.docx", "A 39568-2021")</f>
        <v/>
      </c>
      <c r="AA9">
        <f>HYPERLINK("https://klasma.github.io/Logging_1060/tillsyn/A 39568-2021 tillsynsbegäran.docx", "A 39568-2021")</f>
        <v/>
      </c>
      <c r="AB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46222</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s="2" t="inlineStr">
        <is>
          <t>Skogsalm
Backruta
Grönvit nattviol</t>
        </is>
      </c>
      <c r="V10">
        <f>HYPERLINK("https://klasma.github.io/Logging_1060/artfynd/A 33863-2023 artfynd.xlsx", "A 33863-2023")</f>
        <v/>
      </c>
      <c r="W10">
        <f>HYPERLINK("https://klasma.github.io/Logging_1060/kartor/A 33863-2023 karta.png", "A 33863-2023")</f>
        <v/>
      </c>
      <c r="Y10">
        <f>HYPERLINK("https://klasma.github.io/Logging_1060/klagomål/A 33863-2023 FSC-klagomål.docx", "A 33863-2023")</f>
        <v/>
      </c>
      <c r="Z10">
        <f>HYPERLINK("https://klasma.github.io/Logging_1060/klagomålsmail/A 33863-2023 FSC-klagomål mail.docx", "A 33863-2023")</f>
        <v/>
      </c>
      <c r="AA10">
        <f>HYPERLINK("https://klasma.github.io/Logging_1060/tillsyn/A 33863-2023 tillsynsbegäran.docx", "A 33863-2023")</f>
        <v/>
      </c>
      <c r="AB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46222</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46222</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s="2" t="inlineStr">
        <is>
          <t>Sjötåtel
Revlummer</t>
        </is>
      </c>
      <c r="V12">
        <f>HYPERLINK("https://klasma.github.io/Logging_1060/artfynd/A 59891-2024 artfynd.xlsx", "A 59891-2024")</f>
        <v/>
      </c>
      <c r="W12">
        <f>HYPERLINK("https://klasma.github.io/Logging_1060/kartor/A 59891-2024 karta.png", "A 59891-2024")</f>
        <v/>
      </c>
      <c r="Y12">
        <f>HYPERLINK("https://klasma.github.io/Logging_1060/klagomål/A 59891-2024 FSC-klagomål.docx", "A 59891-2024")</f>
        <v/>
      </c>
      <c r="Z12">
        <f>HYPERLINK("https://klasma.github.io/Logging_1060/klagomålsmail/A 59891-2024 FSC-klagomål mail.docx", "A 59891-2024")</f>
        <v/>
      </c>
      <c r="AA12">
        <f>HYPERLINK("https://klasma.github.io/Logging_1060/tillsyn/A 59891-2024 tillsynsbegäran.docx", "A 59891-2024")</f>
        <v/>
      </c>
      <c r="AB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46222</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s="2" t="inlineStr">
        <is>
          <t>Knärot
Västlig hakmossa</t>
        </is>
      </c>
      <c r="V13">
        <f>HYPERLINK("https://klasma.github.io/Logging_1060/artfynd/A 46157-2024 artfynd.xlsx", "A 46157-2024")</f>
        <v/>
      </c>
      <c r="W13">
        <f>HYPERLINK("https://klasma.github.io/Logging_1060/kartor/A 46157-2024 karta.png", "A 46157-2024")</f>
        <v/>
      </c>
      <c r="X13">
        <f>HYPERLINK("https://klasma.github.io/Logging_1060/knärot/A 46157-2024 karta knärot.png", "A 46157-2024")</f>
        <v/>
      </c>
      <c r="Y13">
        <f>HYPERLINK("https://klasma.github.io/Logging_1060/klagomål/A 46157-2024 FSC-klagomål.docx", "A 46157-2024")</f>
        <v/>
      </c>
      <c r="Z13">
        <f>HYPERLINK("https://klasma.github.io/Logging_1060/klagomålsmail/A 46157-2024 FSC-klagomål mail.docx", "A 46157-2024")</f>
        <v/>
      </c>
      <c r="AA13">
        <f>HYPERLINK("https://klasma.github.io/Logging_1060/tillsyn/A 46157-2024 tillsynsbegäran.docx", "A 46157-2024")</f>
        <v/>
      </c>
      <c r="AB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46222</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s="2" t="inlineStr">
        <is>
          <t>Fyrflikig jordstjärna
Kamjordstjärna</t>
        </is>
      </c>
      <c r="V14">
        <f>HYPERLINK("https://klasma.github.io/Logging_1060/artfynd/A 46918-2024 artfynd.xlsx", "A 46918-2024")</f>
        <v/>
      </c>
      <c r="W14">
        <f>HYPERLINK("https://klasma.github.io/Logging_1060/kartor/A 46918-2024 karta.png", "A 46918-2024")</f>
        <v/>
      </c>
      <c r="Y14">
        <f>HYPERLINK("https://klasma.github.io/Logging_1060/klagomål/A 46918-2024 FSC-klagomål.docx", "A 46918-2024")</f>
        <v/>
      </c>
      <c r="Z14">
        <f>HYPERLINK("https://klasma.github.io/Logging_1060/klagomålsmail/A 46918-2024 FSC-klagomål mail.docx", "A 46918-2024")</f>
        <v/>
      </c>
      <c r="AA14">
        <f>HYPERLINK("https://klasma.github.io/Logging_1060/tillsyn/A 46918-2024 tillsynsbegäran.docx", "A 46918-2024")</f>
        <v/>
      </c>
      <c r="AB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46222</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s="2" t="inlineStr">
        <is>
          <t>Murgröna
Blåsippa</t>
        </is>
      </c>
      <c r="V15">
        <f>HYPERLINK("https://klasma.github.io/Logging_1060/artfynd/A 32004-2023 artfynd.xlsx", "A 32004-2023")</f>
        <v/>
      </c>
      <c r="W15">
        <f>HYPERLINK("https://klasma.github.io/Logging_1060/kartor/A 32004-2023 karta.png", "A 32004-2023")</f>
        <v/>
      </c>
      <c r="Y15">
        <f>HYPERLINK("https://klasma.github.io/Logging_1060/klagomål/A 32004-2023 FSC-klagomål.docx", "A 32004-2023")</f>
        <v/>
      </c>
      <c r="Z15">
        <f>HYPERLINK("https://klasma.github.io/Logging_1060/klagomålsmail/A 32004-2023 FSC-klagomål mail.docx", "A 32004-2023")</f>
        <v/>
      </c>
      <c r="AA15">
        <f>HYPERLINK("https://klasma.github.io/Logging_1060/tillsyn/A 32004-2023 tillsynsbegäran.docx", "A 32004-2023")</f>
        <v/>
      </c>
      <c r="AB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46222</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46222</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s="2" t="inlineStr">
        <is>
          <t>Skogsbräsma</t>
        </is>
      </c>
      <c r="V17">
        <f>HYPERLINK("https://klasma.github.io/Logging_1060/artfynd/A 33416-2023 artfynd.xlsx", "A 33416-2023")</f>
        <v/>
      </c>
      <c r="W17">
        <f>HYPERLINK("https://klasma.github.io/Logging_1060/kartor/A 33416-2023 karta.png", "A 33416-2023")</f>
        <v/>
      </c>
      <c r="Y17">
        <f>HYPERLINK("https://klasma.github.io/Logging_1060/klagomål/A 33416-2023 FSC-klagomål.docx", "A 33416-2023")</f>
        <v/>
      </c>
      <c r="Z17">
        <f>HYPERLINK("https://klasma.github.io/Logging_1060/klagomålsmail/A 33416-2023 FSC-klagomål mail.docx", "A 33416-2023")</f>
        <v/>
      </c>
      <c r="AA17">
        <f>HYPERLINK("https://klasma.github.io/Logging_1060/tillsyn/A 33416-2023 tillsynsbegäran.docx", "A 33416-2023")</f>
        <v/>
      </c>
      <c r="AB17">
        <f>HYPERLINK("https://klasma.github.io/Logging_1060/tillsynsmail/A 33416-2023 tillsynsbegäran mail.docx", "A 33416-2023")</f>
        <v/>
      </c>
    </row>
    <row r="18" ht="15" customHeight="1">
      <c r="A18" t="inlineStr">
        <is>
          <t>A 5425-2026</t>
        </is>
      </c>
      <c r="B18" t="inlineStr">
        <is>
          <t>avverkningsanmälan</t>
        </is>
      </c>
      <c r="C18" t="inlineStr">
        <is>
          <t>Föryngringsavverkning</t>
        </is>
      </c>
      <c r="D18" s="1" t="n">
        <v>46050</v>
      </c>
      <c r="E18" s="1" t="n">
        <v>46222</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s="2" t="inlineStr">
        <is>
          <t>Revlummer</t>
        </is>
      </c>
      <c r="V18">
        <f>HYPERLINK("https://klasma.github.io/Logging_1060/artfynd/A 5425-2026 artfynd.xlsx", "A 5425-2026")</f>
        <v/>
      </c>
      <c r="W18">
        <f>HYPERLINK("https://klasma.github.io/Logging_1060/kartor/A 5425-2026 karta.png", "A 5425-2026")</f>
        <v/>
      </c>
      <c r="Y18">
        <f>HYPERLINK("https://klasma.github.io/Logging_1060/klagomål/A 5425-2026 FSC-klagomål.docx", "A 5425-2026")</f>
        <v/>
      </c>
      <c r="Z18">
        <f>HYPERLINK("https://klasma.github.io/Logging_1060/klagomålsmail/A 5425-2026 FSC-klagomål mail.docx", "A 5425-2026")</f>
        <v/>
      </c>
      <c r="AA18">
        <f>HYPERLINK("https://klasma.github.io/Logging_1060/tillsyn/A 5425-2026 tillsynsbegäran.docx", "A 5425-2026")</f>
        <v/>
      </c>
      <c r="AB18">
        <f>HYPERLINK("https://klasma.github.io/Logging_1060/tillsynsmail/A 5425-2026 tillsynsbegäran mail.docx", "A 5425-2026")</f>
        <v/>
      </c>
    </row>
    <row r="19" ht="15" customHeight="1">
      <c r="A19" t="inlineStr">
        <is>
          <t>A 49064-2024</t>
        </is>
      </c>
      <c r="B19" t="inlineStr">
        <is>
          <t>avverkningsanmälan</t>
        </is>
      </c>
      <c r="C19" t="inlineStr">
        <is>
          <t>Föryngringsavverkning</t>
        </is>
      </c>
      <c r="D19" s="1" t="n">
        <v>45594</v>
      </c>
      <c r="E19" s="1" t="n">
        <v>46222</v>
      </c>
      <c r="F19" t="inlineStr">
        <is>
          <t>BLEKINGE LÄN</t>
        </is>
      </c>
      <c r="G19" t="inlineStr">
        <is>
          <t>OLOFSTRÖM</t>
        </is>
      </c>
      <c r="I19" t="n">
        <v>4.8</v>
      </c>
      <c r="J19" t="n">
        <v>0</v>
      </c>
      <c r="K19" t="n">
        <v>0</v>
      </c>
      <c r="L19" t="n">
        <v>1</v>
      </c>
      <c r="M19" t="n">
        <v>0</v>
      </c>
      <c r="N19" t="n">
        <v>0</v>
      </c>
      <c r="O19" t="n">
        <v>0</v>
      </c>
      <c r="P19" t="n">
        <v>0</v>
      </c>
      <c r="Q19" t="n">
        <v>1</v>
      </c>
      <c r="R19" t="n">
        <v>0</v>
      </c>
      <c r="S19" t="n">
        <v>1</v>
      </c>
      <c r="T19" t="n">
        <v>2</v>
      </c>
      <c r="U19" s="2" t="inlineStr">
        <is>
          <t>Grönhjon</t>
        </is>
      </c>
      <c r="V19">
        <f>HYPERLINK("https://klasma.github.io/Logging_1060/artfynd/A 49064-2024 artfynd.xlsx", "A 49064-2024")</f>
        <v/>
      </c>
      <c r="W19">
        <f>HYPERLINK("https://klasma.github.io/Logging_1060/kartor/A 49064-2024 karta.png", "A 49064-2024")</f>
        <v/>
      </c>
      <c r="Y19">
        <f>HYPERLINK("https://klasma.github.io/Logging_1060/klagomål/A 49064-2024 FSC-klagomål.docx", "A 49064-2024")</f>
        <v/>
      </c>
      <c r="Z19">
        <f>HYPERLINK("https://klasma.github.io/Logging_1060/klagomålsmail/A 49064-2024 FSC-klagomål mail.docx", "A 49064-2024")</f>
        <v/>
      </c>
      <c r="AA19">
        <f>HYPERLINK("https://klasma.github.io/Logging_1060/tillsyn/A 49064-2024 tillsynsbegäran.docx", "A 49064-2024")</f>
        <v/>
      </c>
      <c r="AB19">
        <f>HYPERLINK("https://klasma.github.io/Logging_1060/tillsynsmail/A 49064-2024 tillsynsbegäran mail.docx", "A 49064-2024")</f>
        <v/>
      </c>
    </row>
    <row r="20" ht="15" customHeight="1">
      <c r="A20" t="inlineStr">
        <is>
          <t>A 9313-2026</t>
        </is>
      </c>
      <c r="B20" t="inlineStr">
        <is>
          <t>avverkningsanmälan</t>
        </is>
      </c>
      <c r="C20" t="inlineStr">
        <is>
          <t>Föryngringsavverkning</t>
        </is>
      </c>
      <c r="D20" s="1" t="n">
        <v>46070</v>
      </c>
      <c r="E20" s="1" t="n">
        <v>46222</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s="2" t="inlineStr">
        <is>
          <t>Mattlummer</t>
        </is>
      </c>
      <c r="V20">
        <f>HYPERLINK("https://klasma.github.io/Logging_1060/artfynd/A 9313-2026 artfynd.xlsx", "A 9313-2026")</f>
        <v/>
      </c>
      <c r="W20">
        <f>HYPERLINK("https://klasma.github.io/Logging_1060/kartor/A 9313-2026 karta.png", "A 9313-2026")</f>
        <v/>
      </c>
      <c r="Y20">
        <f>HYPERLINK("https://klasma.github.io/Logging_1060/klagomål/A 9313-2026 FSC-klagomål.docx", "A 9313-2026")</f>
        <v/>
      </c>
      <c r="Z20">
        <f>HYPERLINK("https://klasma.github.io/Logging_1060/klagomålsmail/A 9313-2026 FSC-klagomål mail.docx", "A 9313-2026")</f>
        <v/>
      </c>
      <c r="AA20">
        <f>HYPERLINK("https://klasma.github.io/Logging_1060/tillsyn/A 9313-2026 tillsynsbegäran.docx", "A 9313-2026")</f>
        <v/>
      </c>
      <c r="AB20">
        <f>HYPERLINK("https://klasma.github.io/Logging_1060/tillsynsmail/A 9313-2026 tillsynsbegäran mail.docx", "A 9313-2026")</f>
        <v/>
      </c>
    </row>
    <row r="21" ht="15" customHeight="1">
      <c r="A21" t="inlineStr">
        <is>
          <t>A 27979-2023</t>
        </is>
      </c>
      <c r="B21" t="inlineStr">
        <is>
          <t>avverkningsanmälan</t>
        </is>
      </c>
      <c r="C21" t="inlineStr">
        <is>
          <t>Föryngringsavverkning</t>
        </is>
      </c>
      <c r="D21" s="1" t="n">
        <v>45098</v>
      </c>
      <c r="E21" s="1" t="n">
        <v>46222</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s="2" t="inlineStr">
        <is>
          <t>Blåsippa</t>
        </is>
      </c>
      <c r="V21">
        <f>HYPERLINK("https://klasma.github.io/Logging_1060/artfynd/A 27979-2023 artfynd.xlsx", "A 27979-2023")</f>
        <v/>
      </c>
      <c r="W21">
        <f>HYPERLINK("https://klasma.github.io/Logging_1060/kartor/A 27979-2023 karta.png", "A 27979-2023")</f>
        <v/>
      </c>
      <c r="Y21">
        <f>HYPERLINK("https://klasma.github.io/Logging_1060/klagomål/A 27979-2023 FSC-klagomål.docx", "A 27979-2023")</f>
        <v/>
      </c>
      <c r="Z21">
        <f>HYPERLINK("https://klasma.github.io/Logging_1060/klagomålsmail/A 27979-2023 FSC-klagomål mail.docx", "A 27979-2023")</f>
        <v/>
      </c>
      <c r="AA21">
        <f>HYPERLINK("https://klasma.github.io/Logging_1060/tillsyn/A 27979-2023 tillsynsbegäran.docx", "A 27979-2023")</f>
        <v/>
      </c>
      <c r="AB21">
        <f>HYPERLINK("https://klasma.github.io/Logging_1060/tillsynsmail/A 27979-2023 tillsynsbegäran mail.docx", "A 27979-2023")</f>
        <v/>
      </c>
    </row>
    <row r="22" ht="15" customHeight="1">
      <c r="A22" t="inlineStr">
        <is>
          <t>A 2463-2026</t>
        </is>
      </c>
      <c r="B22" t="inlineStr">
        <is>
          <t>avverkningsanmälan</t>
        </is>
      </c>
      <c r="C22" t="inlineStr">
        <is>
          <t>Föryngringsavverkning</t>
        </is>
      </c>
      <c r="D22" s="1" t="n">
        <v>46037</v>
      </c>
      <c r="E22" s="1" t="n">
        <v>46222</v>
      </c>
      <c r="F22" t="inlineStr">
        <is>
          <t>BLEKINGE LÄN</t>
        </is>
      </c>
      <c r="G22" t="inlineStr">
        <is>
          <t>OLOFSTRÖM</t>
        </is>
      </c>
      <c r="I22" t="n">
        <v>5.2</v>
      </c>
      <c r="J22" t="n">
        <v>0</v>
      </c>
      <c r="K22" t="n">
        <v>0</v>
      </c>
      <c r="L22" t="n">
        <v>1</v>
      </c>
      <c r="M22" t="n">
        <v>0</v>
      </c>
      <c r="N22" t="n">
        <v>0</v>
      </c>
      <c r="O22" t="n">
        <v>0</v>
      </c>
      <c r="P22" t="n">
        <v>0</v>
      </c>
      <c r="Q22" t="n">
        <v>1</v>
      </c>
      <c r="R22" t="n">
        <v>0</v>
      </c>
      <c r="S22" t="n">
        <v>1</v>
      </c>
      <c r="T22" t="n">
        <v>3</v>
      </c>
      <c r="U22" s="2" t="inlineStr">
        <is>
          <t>Grönhjon</t>
        </is>
      </c>
      <c r="V22">
        <f>HYPERLINK("https://klasma.github.io/Logging_1060/artfynd/A 2463-2026 artfynd.xlsx", "A 2463-2026")</f>
        <v/>
      </c>
      <c r="W22">
        <f>HYPERLINK("https://klasma.github.io/Logging_1060/kartor/A 2463-2026 karta.png", "A 2463-2026")</f>
        <v/>
      </c>
      <c r="Y22">
        <f>HYPERLINK("https://klasma.github.io/Logging_1060/klagomål/A 2463-2026 FSC-klagomål.docx", "A 2463-2026")</f>
        <v/>
      </c>
      <c r="Z22">
        <f>HYPERLINK("https://klasma.github.io/Logging_1060/klagomålsmail/A 2463-2026 FSC-klagomål mail.docx", "A 2463-2026")</f>
        <v/>
      </c>
      <c r="AA22">
        <f>HYPERLINK("https://klasma.github.io/Logging_1060/tillsyn/A 2463-2026 tillsynsbegäran.docx", "A 2463-2026")</f>
        <v/>
      </c>
      <c r="AB22">
        <f>HYPERLINK("https://klasma.github.io/Logging_1060/tillsynsmail/A 2463-2026 tillsynsbegäran mail.docx", "A 2463-2026")</f>
        <v/>
      </c>
    </row>
    <row r="23" ht="15" customHeight="1">
      <c r="A23" t="inlineStr">
        <is>
          <t>A 650-2022</t>
        </is>
      </c>
      <c r="B23" t="inlineStr">
        <is>
          <t>avverkningsanmälan</t>
        </is>
      </c>
      <c r="C23" t="inlineStr">
        <is>
          <t>Föryngringsavverkning</t>
        </is>
      </c>
      <c r="D23" s="1" t="n">
        <v>44568</v>
      </c>
      <c r="E23" s="1" t="n">
        <v>46222</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s="2" t="inlineStr">
        <is>
          <t>Stor revmossa</t>
        </is>
      </c>
      <c r="V23">
        <f>HYPERLINK("https://klasma.github.io/Logging_1060/artfynd/A 650-2022 artfynd.xlsx", "A 650-2022")</f>
        <v/>
      </c>
      <c r="W23">
        <f>HYPERLINK("https://klasma.github.io/Logging_1060/kartor/A 650-2022 karta.png", "A 650-2022")</f>
        <v/>
      </c>
      <c r="Y23">
        <f>HYPERLINK("https://klasma.github.io/Logging_1060/klagomål/A 650-2022 FSC-klagomål.docx", "A 650-2022")</f>
        <v/>
      </c>
      <c r="Z23">
        <f>HYPERLINK("https://klasma.github.io/Logging_1060/klagomålsmail/A 650-2022 FSC-klagomål mail.docx", "A 650-2022")</f>
        <v/>
      </c>
      <c r="AA23">
        <f>HYPERLINK("https://klasma.github.io/Logging_1060/tillsyn/A 650-2022 tillsynsbegäran.docx", "A 650-2022")</f>
        <v/>
      </c>
      <c r="AB23">
        <f>HYPERLINK("https://klasma.github.io/Logging_1060/tillsynsmail/A 650-2022 tillsynsbegäran mail.docx", "A 650-2022")</f>
        <v/>
      </c>
    </row>
    <row r="24" ht="15" customHeight="1">
      <c r="A24" t="inlineStr">
        <is>
          <t>A 46675-2024</t>
        </is>
      </c>
      <c r="B24" t="inlineStr">
        <is>
          <t>avverkningsanmälan</t>
        </is>
      </c>
      <c r="C24" t="inlineStr">
        <is>
          <t>Föryngringsavverkning</t>
        </is>
      </c>
      <c r="D24" s="1" t="n">
        <v>45583</v>
      </c>
      <c r="E24" s="1" t="n">
        <v>46222</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s="2" t="inlineStr">
        <is>
          <t>Sommarfibbla</t>
        </is>
      </c>
      <c r="V24">
        <f>HYPERLINK("https://klasma.github.io/Logging_1060/artfynd/A 46675-2024 artfynd.xlsx", "A 46675-2024")</f>
        <v/>
      </c>
      <c r="W24">
        <f>HYPERLINK("https://klasma.github.io/Logging_1060/kartor/A 46675-2024 karta.png", "A 46675-2024")</f>
        <v/>
      </c>
      <c r="Y24">
        <f>HYPERLINK("https://klasma.github.io/Logging_1060/klagomål/A 46675-2024 FSC-klagomål.docx", "A 46675-2024")</f>
        <v/>
      </c>
      <c r="Z24">
        <f>HYPERLINK("https://klasma.github.io/Logging_1060/klagomålsmail/A 46675-2024 FSC-klagomål mail.docx", "A 46675-2024")</f>
        <v/>
      </c>
      <c r="AA24">
        <f>HYPERLINK("https://klasma.github.io/Logging_1060/tillsyn/A 46675-2024 tillsynsbegäran.docx", "A 46675-2024")</f>
        <v/>
      </c>
      <c r="AB24">
        <f>HYPERLINK("https://klasma.github.io/Logging_1060/tillsynsmail/A 46675-2024 tillsynsbegäran mail.docx", "A 46675-2024")</f>
        <v/>
      </c>
    </row>
    <row r="25" ht="15" customHeight="1">
      <c r="A25" t="inlineStr">
        <is>
          <t>A 12792-2025</t>
        </is>
      </c>
      <c r="B25" t="inlineStr">
        <is>
          <t>avverkningsanmälan</t>
        </is>
      </c>
      <c r="C25" t="inlineStr">
        <is>
          <t>Föryngringsavverkning</t>
        </is>
      </c>
      <c r="D25" s="1" t="n">
        <v>45733</v>
      </c>
      <c r="E25" s="1" t="n">
        <v>46222</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s="2" t="inlineStr">
        <is>
          <t>Mattlummer</t>
        </is>
      </c>
      <c r="V25">
        <f>HYPERLINK("https://klasma.github.io/Logging_1060/artfynd/A 12792-2025 artfynd.xlsx", "A 12792-2025")</f>
        <v/>
      </c>
      <c r="W25">
        <f>HYPERLINK("https://klasma.github.io/Logging_1060/kartor/A 12792-2025 karta.png", "A 12792-2025")</f>
        <v/>
      </c>
      <c r="Y25">
        <f>HYPERLINK("https://klasma.github.io/Logging_1060/klagomål/A 12792-2025 FSC-klagomål.docx", "A 12792-2025")</f>
        <v/>
      </c>
      <c r="Z25">
        <f>HYPERLINK("https://klasma.github.io/Logging_1060/klagomålsmail/A 12792-2025 FSC-klagomål mail.docx", "A 12792-2025")</f>
        <v/>
      </c>
      <c r="AA25">
        <f>HYPERLINK("https://klasma.github.io/Logging_1060/tillsyn/A 12792-2025 tillsynsbegäran.docx", "A 12792-2025")</f>
        <v/>
      </c>
      <c r="AB25">
        <f>HYPERLINK("https://klasma.github.io/Logging_1060/tillsynsmail/A 12792-2025 tillsynsbegäran mail.docx", "A 12792-2025")</f>
        <v/>
      </c>
    </row>
    <row r="26" ht="15" customHeight="1">
      <c r="A26" t="inlineStr">
        <is>
          <t>A 34742-2023</t>
        </is>
      </c>
      <c r="B26" t="inlineStr">
        <is>
          <t>avverkningsanmälan</t>
        </is>
      </c>
      <c r="C26" t="inlineStr">
        <is>
          <t>Föryngringsavverkning</t>
        </is>
      </c>
      <c r="D26" s="1" t="n">
        <v>45141</v>
      </c>
      <c r="E26" s="1" t="n">
        <v>46222</v>
      </c>
      <c r="F26" t="inlineStr">
        <is>
          <t>BLEKINGE LÄN</t>
        </is>
      </c>
      <c r="G26" t="inlineStr">
        <is>
          <t>OLOFSTRÖM</t>
        </is>
      </c>
      <c r="I26" t="n">
        <v>3.6</v>
      </c>
      <c r="J26" t="n">
        <v>0</v>
      </c>
      <c r="K26" t="n">
        <v>1</v>
      </c>
      <c r="L26" t="n">
        <v>0</v>
      </c>
      <c r="M26" t="n">
        <v>0</v>
      </c>
      <c r="N26" t="n">
        <v>0</v>
      </c>
      <c r="O26" t="n">
        <v>0</v>
      </c>
      <c r="P26" t="n">
        <v>0</v>
      </c>
      <c r="Q26" t="n">
        <v>0</v>
      </c>
      <c r="R26" t="n">
        <v>0</v>
      </c>
      <c r="S26" t="n">
        <v>1</v>
      </c>
      <c r="T26" t="n">
        <v>1</v>
      </c>
      <c r="U26" s="2" t="inlineStr">
        <is>
          <t>Guldlockmossa</t>
        </is>
      </c>
      <c r="V26">
        <f>HYPERLINK("https://klasma.github.io/Logging_1060/artfynd/A 34742-2023 artfynd.xlsx", "A 34742-2023")</f>
        <v/>
      </c>
      <c r="W26">
        <f>HYPERLINK("https://klasma.github.io/Logging_1060/kartor/A 34742-2023 karta.png", "A 34742-2023")</f>
        <v/>
      </c>
      <c r="Y26">
        <f>HYPERLINK("https://klasma.github.io/Logging_1060/klagomål/A 34742-2023 FSC-klagomål.docx", "A 34742-2023")</f>
        <v/>
      </c>
      <c r="Z26">
        <f>HYPERLINK("https://klasma.github.io/Logging_1060/klagomålsmail/A 34742-2023 FSC-klagomål mail.docx", "A 34742-2023")</f>
        <v/>
      </c>
      <c r="AA26">
        <f>HYPERLINK("https://klasma.github.io/Logging_1060/tillsyn/A 34742-2023 tillsynsbegäran.docx", "A 34742-2023")</f>
        <v/>
      </c>
      <c r="AB26">
        <f>HYPERLINK("https://klasma.github.io/Logging_1060/tillsynsmail/A 34742-2023 tillsynsbegäran mail.docx", "A 34742-2023")</f>
        <v/>
      </c>
    </row>
    <row r="27" ht="15" customHeight="1">
      <c r="A27" t="inlineStr">
        <is>
          <t>A 39085-2024</t>
        </is>
      </c>
      <c r="B27" t="inlineStr">
        <is>
          <t>avverkningsanmälan</t>
        </is>
      </c>
      <c r="C27" t="inlineStr">
        <is>
          <t>Föryngringsavverkning</t>
        </is>
      </c>
      <c r="D27" s="1" t="n">
        <v>45548</v>
      </c>
      <c r="E27" s="1" t="n">
        <v>46222</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s="2" t="inlineStr">
        <is>
          <t>Korallrot</t>
        </is>
      </c>
      <c r="V27">
        <f>HYPERLINK("https://klasma.github.io/Logging_1060/artfynd/A 39085-2024 artfynd.xlsx", "A 39085-2024")</f>
        <v/>
      </c>
      <c r="W27">
        <f>HYPERLINK("https://klasma.github.io/Logging_1060/kartor/A 39085-2024 karta.png", "A 39085-2024")</f>
        <v/>
      </c>
      <c r="Y27">
        <f>HYPERLINK("https://klasma.github.io/Logging_1060/klagomål/A 39085-2024 FSC-klagomål.docx", "A 39085-2024")</f>
        <v/>
      </c>
      <c r="Z27">
        <f>HYPERLINK("https://klasma.github.io/Logging_1060/klagomålsmail/A 39085-2024 FSC-klagomål mail.docx", "A 39085-2024")</f>
        <v/>
      </c>
      <c r="AA27">
        <f>HYPERLINK("https://klasma.github.io/Logging_1060/tillsyn/A 39085-2024 tillsynsbegäran.docx", "A 39085-2024")</f>
        <v/>
      </c>
      <c r="AB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46222</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s="2" t="inlineStr">
        <is>
          <t>Sotriska</t>
        </is>
      </c>
      <c r="V28">
        <f>HYPERLINK("https://klasma.github.io/Logging_1060/artfynd/A 39104-2024 artfynd.xlsx", "A 39104-2024")</f>
        <v/>
      </c>
      <c r="W28">
        <f>HYPERLINK("https://klasma.github.io/Logging_1060/kartor/A 39104-2024 karta.png", "A 39104-2024")</f>
        <v/>
      </c>
      <c r="Y28">
        <f>HYPERLINK("https://klasma.github.io/Logging_1060/klagomål/A 39104-2024 FSC-klagomål.docx", "A 39104-2024")</f>
        <v/>
      </c>
      <c r="Z28">
        <f>HYPERLINK("https://klasma.github.io/Logging_1060/klagomålsmail/A 39104-2024 FSC-klagomål mail.docx", "A 39104-2024")</f>
        <v/>
      </c>
      <c r="AA28">
        <f>HYPERLINK("https://klasma.github.io/Logging_1060/tillsyn/A 39104-2024 tillsynsbegäran.docx", "A 39104-2024")</f>
        <v/>
      </c>
      <c r="AB28">
        <f>HYPERLINK("https://klasma.github.io/Logging_1060/tillsynsmail/A 39104-2024 tillsynsbegäran mail.docx", "A 39104-2024")</f>
        <v/>
      </c>
    </row>
    <row r="29" ht="15" customHeight="1">
      <c r="A29" t="inlineStr">
        <is>
          <t>A 47776-2023</t>
        </is>
      </c>
      <c r="B29" t="inlineStr">
        <is>
          <t>avverkningsanmälan</t>
        </is>
      </c>
      <c r="C29" t="inlineStr">
        <is>
          <t>Föryngringsavverkning</t>
        </is>
      </c>
      <c r="D29" s="1" t="n">
        <v>45203</v>
      </c>
      <c r="E29" s="1" t="n">
        <v>46222</v>
      </c>
      <c r="F29" t="inlineStr">
        <is>
          <t>BLEKINGE LÄN</t>
        </is>
      </c>
      <c r="G29" t="inlineStr">
        <is>
          <t>OLOFSTRÖM</t>
        </is>
      </c>
      <c r="I29" t="n">
        <v>1.4</v>
      </c>
      <c r="J29" t="n">
        <v>1</v>
      </c>
      <c r="K29" t="n">
        <v>0</v>
      </c>
      <c r="L29" t="n">
        <v>0</v>
      </c>
      <c r="M29" t="n">
        <v>0</v>
      </c>
      <c r="N29" t="n">
        <v>0</v>
      </c>
      <c r="O29" t="n">
        <v>0</v>
      </c>
      <c r="P29" t="n">
        <v>0</v>
      </c>
      <c r="Q29" t="n">
        <v>0</v>
      </c>
      <c r="R29" t="n">
        <v>0</v>
      </c>
      <c r="S29" t="n">
        <v>1</v>
      </c>
      <c r="T29" t="n">
        <v>1</v>
      </c>
      <c r="U29" s="2" t="inlineStr">
        <is>
          <t>Mattlummer</t>
        </is>
      </c>
      <c r="V29">
        <f>HYPERLINK("https://klasma.github.io/Logging_1060/artfynd/A 47776-2023 artfynd.xlsx", "A 47776-2023")</f>
        <v/>
      </c>
      <c r="W29">
        <f>HYPERLINK("https://klasma.github.io/Logging_1060/kartor/A 47776-2023 karta.png", "A 47776-2023")</f>
        <v/>
      </c>
      <c r="Y29">
        <f>HYPERLINK("https://klasma.github.io/Logging_1060/klagomål/A 47776-2023 FSC-klagomål.docx", "A 47776-2023")</f>
        <v/>
      </c>
      <c r="Z29">
        <f>HYPERLINK("https://klasma.github.io/Logging_1060/klagomålsmail/A 47776-2023 FSC-klagomål mail.docx", "A 47776-2023")</f>
        <v/>
      </c>
      <c r="AA29">
        <f>HYPERLINK("https://klasma.github.io/Logging_1060/tillsyn/A 47776-2023 tillsynsbegäran.docx", "A 47776-2023")</f>
        <v/>
      </c>
      <c r="AB29">
        <f>HYPERLINK("https://klasma.github.io/Logging_1060/tillsynsmail/A 47776-2023 tillsynsbegäran mail.docx", "A 47776-2023")</f>
        <v/>
      </c>
    </row>
    <row r="30" ht="15" customHeight="1">
      <c r="A30" t="inlineStr">
        <is>
          <t>A 45688-2023</t>
        </is>
      </c>
      <c r="B30" t="inlineStr">
        <is>
          <t>avverkningsanmälan</t>
        </is>
      </c>
      <c r="C30" t="inlineStr">
        <is>
          <t>Föryngringsavverkning</t>
        </is>
      </c>
      <c r="D30" s="1" t="n">
        <v>45195</v>
      </c>
      <c r="E30" s="1" t="n">
        <v>46222</v>
      </c>
      <c r="F30" t="inlineStr">
        <is>
          <t>BLEKINGE LÄN</t>
        </is>
      </c>
      <c r="G30" t="inlineStr">
        <is>
          <t>OLOFSTRÖM</t>
        </is>
      </c>
      <c r="I30" t="n">
        <v>6.7</v>
      </c>
      <c r="J30" t="n">
        <v>0</v>
      </c>
      <c r="K30" t="n">
        <v>0</v>
      </c>
      <c r="L30" t="n">
        <v>0</v>
      </c>
      <c r="M30" t="n">
        <v>1</v>
      </c>
      <c r="N30" t="n">
        <v>0</v>
      </c>
      <c r="O30" t="n">
        <v>0</v>
      </c>
      <c r="P30" t="n">
        <v>0</v>
      </c>
      <c r="Q30" t="n">
        <v>1</v>
      </c>
      <c r="R30" t="n">
        <v>1</v>
      </c>
      <c r="S30" t="n">
        <v>1</v>
      </c>
      <c r="T30" t="n">
        <v>1</v>
      </c>
      <c r="U30" s="2" t="inlineStr">
        <is>
          <t>Slåttergubbe</t>
        </is>
      </c>
      <c r="V30">
        <f>HYPERLINK("https://klasma.github.io/Logging_1060/artfynd/A 45688-2023 artfynd.xlsx", "A 45688-2023")</f>
        <v/>
      </c>
      <c r="W30">
        <f>HYPERLINK("https://klasma.github.io/Logging_1060/kartor/A 45688-2023 karta.png", "A 45688-2023")</f>
        <v/>
      </c>
      <c r="Y30">
        <f>HYPERLINK("https://klasma.github.io/Logging_1060/klagomål/A 45688-2023 FSC-klagomål.docx", "A 45688-2023")</f>
        <v/>
      </c>
      <c r="Z30">
        <f>HYPERLINK("https://klasma.github.io/Logging_1060/klagomålsmail/A 45688-2023 FSC-klagomål mail.docx", "A 45688-2023")</f>
        <v/>
      </c>
      <c r="AA30">
        <f>HYPERLINK("https://klasma.github.io/Logging_1060/tillsyn/A 45688-2023 tillsynsbegäran.docx", "A 45688-2023")</f>
        <v/>
      </c>
      <c r="AB30">
        <f>HYPERLINK("https://klasma.github.io/Logging_1060/tillsynsmail/A 45688-2023 tillsynsbegäran mail.docx", "A 45688-2023")</f>
        <v/>
      </c>
    </row>
    <row r="31" ht="15" customHeight="1">
      <c r="A31" t="inlineStr">
        <is>
          <t>A 48467-2022</t>
        </is>
      </c>
      <c r="B31" t="inlineStr">
        <is>
          <t>avverkningsanmälan</t>
        </is>
      </c>
      <c r="C31" t="inlineStr">
        <is>
          <t>Föryngringsavverkning</t>
        </is>
      </c>
      <c r="D31" s="1" t="n">
        <v>44858</v>
      </c>
      <c r="E31" s="1" t="n">
        <v>46222</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s="2" t="inlineStr">
        <is>
          <t>Småvänderot</t>
        </is>
      </c>
      <c r="V31">
        <f>HYPERLINK("https://klasma.github.io/Logging_1060/artfynd/A 48467-2022 artfynd.xlsx", "A 48467-2022")</f>
        <v/>
      </c>
      <c r="W31">
        <f>HYPERLINK("https://klasma.github.io/Logging_1060/kartor/A 48467-2022 karta.png", "A 48467-2022")</f>
        <v/>
      </c>
      <c r="Y31">
        <f>HYPERLINK("https://klasma.github.io/Logging_1060/klagomål/A 48467-2022 FSC-klagomål.docx", "A 48467-2022")</f>
        <v/>
      </c>
      <c r="Z31">
        <f>HYPERLINK("https://klasma.github.io/Logging_1060/klagomålsmail/A 48467-2022 FSC-klagomål mail.docx", "A 48467-2022")</f>
        <v/>
      </c>
      <c r="AA31">
        <f>HYPERLINK("https://klasma.github.io/Logging_1060/tillsyn/A 48467-2022 tillsynsbegäran.docx", "A 48467-2022")</f>
        <v/>
      </c>
      <c r="AB31">
        <f>HYPERLINK("https://klasma.github.io/Logging_1060/tillsynsmail/A 48467-2022 tillsynsbegäran mail.docx", "A 48467-2022")</f>
        <v/>
      </c>
    </row>
    <row r="32" ht="15" customHeight="1">
      <c r="A32" t="inlineStr">
        <is>
          <t>A 53806-2022</t>
        </is>
      </c>
      <c r="B32" t="inlineStr">
        <is>
          <t>avverkningsanmälan</t>
        </is>
      </c>
      <c r="C32" t="inlineStr">
        <is>
          <t>Föryngringsavverkning</t>
        </is>
      </c>
      <c r="D32" s="1" t="n">
        <v>44880</v>
      </c>
      <c r="E32" s="1" t="n">
        <v>46222</v>
      </c>
      <c r="F32" t="inlineStr">
        <is>
          <t>BLEKINGE LÄN</t>
        </is>
      </c>
      <c r="G32" t="inlineStr">
        <is>
          <t>OLOFSTRÖM</t>
        </is>
      </c>
      <c r="I32" t="n">
        <v>11.5</v>
      </c>
      <c r="J32" t="n">
        <v>0</v>
      </c>
      <c r="K32" t="n">
        <v>1</v>
      </c>
      <c r="L32" t="n">
        <v>0</v>
      </c>
      <c r="M32" t="n">
        <v>0</v>
      </c>
      <c r="N32" t="n">
        <v>0</v>
      </c>
      <c r="O32" t="n">
        <v>0</v>
      </c>
      <c r="P32" t="n">
        <v>0</v>
      </c>
      <c r="Q32" t="n">
        <v>0</v>
      </c>
      <c r="R32" t="n">
        <v>0</v>
      </c>
      <c r="S32" t="n">
        <v>1</v>
      </c>
      <c r="T32" t="n">
        <v>1</v>
      </c>
      <c r="U32" s="2" t="inlineStr">
        <is>
          <t>Tibast</t>
        </is>
      </c>
      <c r="V32">
        <f>HYPERLINK("https://klasma.github.io/Logging_1060/artfynd/A 53806-2022 artfynd.xlsx", "A 53806-2022")</f>
        <v/>
      </c>
      <c r="W32">
        <f>HYPERLINK("https://klasma.github.io/Logging_1060/kartor/A 53806-2022 karta.png", "A 53806-2022")</f>
        <v/>
      </c>
      <c r="Y32">
        <f>HYPERLINK("https://klasma.github.io/Logging_1060/klagomål/A 53806-2022 FSC-klagomål.docx", "A 53806-2022")</f>
        <v/>
      </c>
      <c r="Z32">
        <f>HYPERLINK("https://klasma.github.io/Logging_1060/klagomålsmail/A 53806-2022 FSC-klagomål mail.docx", "A 53806-2022")</f>
        <v/>
      </c>
      <c r="AA32">
        <f>HYPERLINK("https://klasma.github.io/Logging_1060/tillsyn/A 53806-2022 tillsynsbegäran.docx", "A 53806-2022")</f>
        <v/>
      </c>
      <c r="AB32">
        <f>HYPERLINK("https://klasma.github.io/Logging_1060/tillsynsmail/A 53806-2022 tillsynsbegäran mail.docx", "A 53806-2022")</f>
        <v/>
      </c>
    </row>
    <row r="33" ht="15" customHeight="1">
      <c r="A33" t="inlineStr">
        <is>
          <t>A 56583-2024</t>
        </is>
      </c>
      <c r="B33" t="inlineStr">
        <is>
          <t>avverkningsanmälan</t>
        </is>
      </c>
      <c r="C33" t="inlineStr">
        <is>
          <t>Föryngringsavverkning</t>
        </is>
      </c>
      <c r="D33" s="1" t="n">
        <v>45625</v>
      </c>
      <c r="E33" s="1" t="n">
        <v>46222</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s="2" t="inlineStr">
        <is>
          <t>Brandticka</t>
        </is>
      </c>
      <c r="V33">
        <f>HYPERLINK("https://klasma.github.io/Logging_1060/artfynd/A 56583-2024 artfynd.xlsx", "A 56583-2024")</f>
        <v/>
      </c>
      <c r="W33">
        <f>HYPERLINK("https://klasma.github.io/Logging_1060/kartor/A 56583-2024 karta.png", "A 56583-2024")</f>
        <v/>
      </c>
      <c r="Y33">
        <f>HYPERLINK("https://klasma.github.io/Logging_1060/klagomål/A 56583-2024 FSC-klagomål.docx", "A 56583-2024")</f>
        <v/>
      </c>
      <c r="Z33">
        <f>HYPERLINK("https://klasma.github.io/Logging_1060/klagomålsmail/A 56583-2024 FSC-klagomål mail.docx", "A 56583-2024")</f>
        <v/>
      </c>
      <c r="AA33">
        <f>HYPERLINK("https://klasma.github.io/Logging_1060/tillsyn/A 56583-2024 tillsynsbegäran.docx", "A 56583-2024")</f>
        <v/>
      </c>
      <c r="AB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46222</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s="2" t="inlineStr">
        <is>
          <t>Revlummer</t>
        </is>
      </c>
      <c r="V34">
        <f>HYPERLINK("https://klasma.github.io/Logging_1060/artfynd/A 3711-2025 artfynd.xlsx", "A 3711-2025")</f>
        <v/>
      </c>
      <c r="W34">
        <f>HYPERLINK("https://klasma.github.io/Logging_1060/kartor/A 3711-2025 karta.png", "A 3711-2025")</f>
        <v/>
      </c>
      <c r="Y34">
        <f>HYPERLINK("https://klasma.github.io/Logging_1060/klagomål/A 3711-2025 FSC-klagomål.docx", "A 3711-2025")</f>
        <v/>
      </c>
      <c r="Z34">
        <f>HYPERLINK("https://klasma.github.io/Logging_1060/klagomålsmail/A 3711-2025 FSC-klagomål mail.docx", "A 3711-2025")</f>
        <v/>
      </c>
      <c r="AA34">
        <f>HYPERLINK("https://klasma.github.io/Logging_1060/tillsyn/A 3711-2025 tillsynsbegäran.docx", "A 3711-2025")</f>
        <v/>
      </c>
      <c r="AB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46222</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46222</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46222</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46222</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8320-2022</t>
        </is>
      </c>
      <c r="B39" t="inlineStr">
        <is>
          <t>avverkningsanmälan</t>
        </is>
      </c>
      <c r="C39" t="inlineStr">
        <is>
          <t>Föryngringsavverkning</t>
        </is>
      </c>
      <c r="D39" s="1" t="n">
        <v>44610</v>
      </c>
      <c r="E39" s="1" t="n">
        <v>46222</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s="2" t="inlineStr"/>
    </row>
    <row r="40" ht="15" customHeight="1">
      <c r="A40" t="inlineStr">
        <is>
          <t>A 24428-2022</t>
        </is>
      </c>
      <c r="B40" t="inlineStr">
        <is>
          <t>avverkningsanmälan</t>
        </is>
      </c>
      <c r="C40" t="inlineStr">
        <is>
          <t>Föryngringsavverkning</t>
        </is>
      </c>
      <c r="D40" s="1" t="n">
        <v>44726</v>
      </c>
      <c r="E40" s="1" t="n">
        <v>46222</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s="2" t="inlineStr"/>
    </row>
    <row r="41" ht="15" customHeight="1">
      <c r="A41" t="inlineStr">
        <is>
          <t>A 62420-2021</t>
        </is>
      </c>
      <c r="B41" t="inlineStr">
        <is>
          <t>avverkningsanmälan</t>
        </is>
      </c>
      <c r="C41" t="inlineStr">
        <is>
          <t>Föryngringsavverkning</t>
        </is>
      </c>
      <c r="D41" s="1" t="n">
        <v>44503</v>
      </c>
      <c r="E41" s="1" t="n">
        <v>46222</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s="2" t="inlineStr"/>
    </row>
    <row r="42" ht="15" customHeight="1">
      <c r="A42" t="inlineStr">
        <is>
          <t>A 8316-2022</t>
        </is>
      </c>
      <c r="B42" t="inlineStr">
        <is>
          <t>avverkningsanmälan</t>
        </is>
      </c>
      <c r="C42" t="inlineStr">
        <is>
          <t>Föryngringsavverkning</t>
        </is>
      </c>
      <c r="D42" s="1" t="n">
        <v>44610</v>
      </c>
      <c r="E42" s="1" t="n">
        <v>46222</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s="2" t="inlineStr"/>
    </row>
    <row r="43" ht="15" customHeight="1">
      <c r="A43" t="inlineStr">
        <is>
          <t>A 8325-2022</t>
        </is>
      </c>
      <c r="B43" t="inlineStr">
        <is>
          <t>avverkningsanmälan</t>
        </is>
      </c>
      <c r="C43" t="inlineStr">
        <is>
          <t>Föryngringsavverkning</t>
        </is>
      </c>
      <c r="D43" s="1" t="n">
        <v>44610</v>
      </c>
      <c r="E43" s="1" t="n">
        <v>46222</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46222</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46222</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46222</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46222</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46222</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46222</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46222</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46222</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46222</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46222</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46222</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46222</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46222</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46222</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46222</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46222</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46222</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46222</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46222</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46222</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46222</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46222</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46222</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46222</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73441-2021</t>
        </is>
      </c>
      <c r="B68" t="inlineStr">
        <is>
          <t>avverkningsanmälan</t>
        </is>
      </c>
      <c r="C68" t="inlineStr">
        <is>
          <t>Föryngringsavverkning</t>
        </is>
      </c>
      <c r="D68" s="1" t="n">
        <v>44551</v>
      </c>
      <c r="E68" s="1" t="n">
        <v>46222</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46222</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46222</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46222</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46222</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46222</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46222</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28338-2022</t>
        </is>
      </c>
      <c r="B75" t="inlineStr">
        <is>
          <t>avverkningsanmälan</t>
        </is>
      </c>
      <c r="C75" t="inlineStr">
        <is>
          <t>Föryngringsavverkning</t>
        </is>
      </c>
      <c r="D75" s="1" t="n">
        <v>44747</v>
      </c>
      <c r="E75" s="1" t="n">
        <v>46222</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s="2" t="inlineStr"/>
    </row>
    <row r="76" ht="15" customHeight="1">
      <c r="A76" t="inlineStr">
        <is>
          <t>A 41178-2021</t>
        </is>
      </c>
      <c r="B76" t="inlineStr">
        <is>
          <t>avverkningsanmälan</t>
        </is>
      </c>
      <c r="C76" t="inlineStr">
        <is>
          <t>Föryngringsavverkning</t>
        </is>
      </c>
      <c r="D76" s="1" t="n">
        <v>44421</v>
      </c>
      <c r="E76" s="1" t="n">
        <v>46222</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s="2" t="inlineStr"/>
    </row>
    <row r="77" ht="15" customHeight="1">
      <c r="A77" t="inlineStr">
        <is>
          <t>A 45594-2021</t>
        </is>
      </c>
      <c r="B77" t="inlineStr">
        <is>
          <t>avverkningsanmälan</t>
        </is>
      </c>
      <c r="C77" t="inlineStr">
        <is>
          <t>Föryngringsavverkning</t>
        </is>
      </c>
      <c r="D77" s="1" t="n">
        <v>44440</v>
      </c>
      <c r="E77" s="1" t="n">
        <v>46222</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s="2" t="inlineStr"/>
    </row>
    <row r="78" ht="15" customHeight="1">
      <c r="A78" t="inlineStr">
        <is>
          <t>A 60644-2021</t>
        </is>
      </c>
      <c r="B78" t="inlineStr">
        <is>
          <t>avverkningsanmälan</t>
        </is>
      </c>
      <c r="C78" t="inlineStr">
        <is>
          <t>Föryngringsavverkning</t>
        </is>
      </c>
      <c r="D78" s="1" t="n">
        <v>44496</v>
      </c>
      <c r="E78" s="1" t="n">
        <v>46222</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46222</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49706-2021</t>
        </is>
      </c>
      <c r="B80" t="inlineStr">
        <is>
          <t>avverkningsanmälan</t>
        </is>
      </c>
      <c r="C80" t="inlineStr">
        <is>
          <t>Föryngringsavverkning</t>
        </is>
      </c>
      <c r="D80" s="1" t="n">
        <v>44455</v>
      </c>
      <c r="E80" s="1" t="n">
        <v>46222</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s="2" t="inlineStr"/>
    </row>
    <row r="81" ht="15" customHeight="1">
      <c r="A81" t="inlineStr">
        <is>
          <t>A 18492-2022</t>
        </is>
      </c>
      <c r="B81" t="inlineStr">
        <is>
          <t>avverkningsanmälan</t>
        </is>
      </c>
      <c r="C81" t="inlineStr">
        <is>
          <t>Avverkning för att bevara och utveckla /försöksver</t>
        </is>
      </c>
      <c r="D81" s="1" t="n">
        <v>44686</v>
      </c>
      <c r="E81" s="1" t="n">
        <v>46222</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s="2" t="inlineStr"/>
    </row>
    <row r="82" ht="15" customHeight="1">
      <c r="A82" t="inlineStr">
        <is>
          <t>A 4735-2022</t>
        </is>
      </c>
      <c r="B82" t="inlineStr">
        <is>
          <t>avverkningsanmälan</t>
        </is>
      </c>
      <c r="C82" t="inlineStr">
        <is>
          <t>Föryngringsavverkning</t>
        </is>
      </c>
      <c r="D82" s="1" t="n">
        <v>44592</v>
      </c>
      <c r="E82" s="1" t="n">
        <v>46222</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11729-2022</t>
        </is>
      </c>
      <c r="B83" t="inlineStr">
        <is>
          <t>avverkningsanmälan</t>
        </is>
      </c>
      <c r="C83" t="inlineStr">
        <is>
          <t>Föryngringsavverkning</t>
        </is>
      </c>
      <c r="D83" s="1" t="n">
        <v>44634</v>
      </c>
      <c r="E83" s="1" t="n">
        <v>46222</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s="2" t="inlineStr"/>
    </row>
    <row r="84" ht="15" customHeight="1">
      <c r="A84" t="inlineStr">
        <is>
          <t>A 46591-2023</t>
        </is>
      </c>
      <c r="B84" t="inlineStr">
        <is>
          <t>avverkningsanmälan</t>
        </is>
      </c>
      <c r="C84" t="inlineStr">
        <is>
          <t>Föryngringsavverkning</t>
        </is>
      </c>
      <c r="D84" s="1" t="n">
        <v>45194</v>
      </c>
      <c r="E84" s="1" t="n">
        <v>46222</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s="2" t="inlineStr"/>
    </row>
    <row r="85" ht="15" customHeight="1">
      <c r="A85" t="inlineStr">
        <is>
          <t>A 40749-2021</t>
        </is>
      </c>
      <c r="B85" t="inlineStr">
        <is>
          <t>avverkningsanmälan</t>
        </is>
      </c>
      <c r="C85" t="inlineStr">
        <is>
          <t>Föryngringsavverkning</t>
        </is>
      </c>
      <c r="D85" s="1" t="n">
        <v>44420</v>
      </c>
      <c r="E85" s="1" t="n">
        <v>46222</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s="2" t="inlineStr"/>
    </row>
    <row r="86" ht="15" customHeight="1">
      <c r="A86" t="inlineStr">
        <is>
          <t>A 16787-2023</t>
        </is>
      </c>
      <c r="B86" t="inlineStr">
        <is>
          <t>avverkningsanmälan</t>
        </is>
      </c>
      <c r="C86" t="inlineStr">
        <is>
          <t>Avverkning för annat ändamål</t>
        </is>
      </c>
      <c r="D86" s="1" t="n">
        <v>45032</v>
      </c>
      <c r="E86" s="1" t="n">
        <v>46222</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s="2" t="inlineStr"/>
    </row>
    <row r="87" ht="15" customHeight="1">
      <c r="A87" t="inlineStr">
        <is>
          <t>A 7277-2025</t>
        </is>
      </c>
      <c r="B87" t="inlineStr">
        <is>
          <t>avverkningsanmälan</t>
        </is>
      </c>
      <c r="C87" t="inlineStr">
        <is>
          <t>Föryngringsavverkning</t>
        </is>
      </c>
      <c r="D87" s="1" t="n">
        <v>45701</v>
      </c>
      <c r="E87" s="1" t="n">
        <v>46222</v>
      </c>
      <c r="F87" t="inlineStr">
        <is>
          <t>BLEKINGE LÄN</t>
        </is>
      </c>
      <c r="G87" t="inlineStr">
        <is>
          <t>OLOFSTRÖM</t>
        </is>
      </c>
      <c r="I87" t="n">
        <v>3.6</v>
      </c>
      <c r="J87" t="n">
        <v>0</v>
      </c>
      <c r="K87" t="n">
        <v>0</v>
      </c>
      <c r="L87" t="n">
        <v>0</v>
      </c>
      <c r="M87" t="n">
        <v>0</v>
      </c>
      <c r="N87" t="n">
        <v>0</v>
      </c>
      <c r="O87" t="n">
        <v>0</v>
      </c>
      <c r="P87" t="n">
        <v>0</v>
      </c>
      <c r="Q87" t="n">
        <v>0</v>
      </c>
      <c r="R87" t="n">
        <v>0</v>
      </c>
      <c r="S87" t="n">
        <v>0</v>
      </c>
      <c r="T87" t="n">
        <v>0</v>
      </c>
      <c r="U87" s="2" t="inlineStr"/>
    </row>
    <row r="88" ht="15" customHeight="1">
      <c r="A88" t="inlineStr">
        <is>
          <t>A 11071-2023</t>
        </is>
      </c>
      <c r="B88" t="inlineStr">
        <is>
          <t>avverkningsanmälan</t>
        </is>
      </c>
      <c r="C88" t="inlineStr">
        <is>
          <t>Föryngringsavverkning</t>
        </is>
      </c>
      <c r="D88" s="1" t="n">
        <v>44992</v>
      </c>
      <c r="E88" s="1" t="n">
        <v>46222</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s="2" t="inlineStr"/>
    </row>
    <row r="89" ht="15" customHeight="1">
      <c r="A89" t="inlineStr">
        <is>
          <t>A 8110-2023</t>
        </is>
      </c>
      <c r="B89" t="inlineStr">
        <is>
          <t>avverkningsanmälan</t>
        </is>
      </c>
      <c r="C89" t="inlineStr">
        <is>
          <t>Föryngringsavverkning</t>
        </is>
      </c>
      <c r="D89" s="1" t="n">
        <v>44970</v>
      </c>
      <c r="E89" s="1" t="n">
        <v>46222</v>
      </c>
      <c r="F89" t="inlineStr">
        <is>
          <t>BLEKINGE LÄN</t>
        </is>
      </c>
      <c r="G89" t="inlineStr">
        <is>
          <t>OLOFSTRÖM</t>
        </is>
      </c>
      <c r="I89" t="n">
        <v>2</v>
      </c>
      <c r="J89" t="n">
        <v>0</v>
      </c>
      <c r="K89" t="n">
        <v>0</v>
      </c>
      <c r="L89" t="n">
        <v>0</v>
      </c>
      <c r="M89" t="n">
        <v>0</v>
      </c>
      <c r="N89" t="n">
        <v>0</v>
      </c>
      <c r="O89" t="n">
        <v>0</v>
      </c>
      <c r="P89" t="n">
        <v>0</v>
      </c>
      <c r="Q89" t="n">
        <v>0</v>
      </c>
      <c r="R89" t="n">
        <v>0</v>
      </c>
      <c r="S89" t="n">
        <v>0</v>
      </c>
      <c r="T89" t="n">
        <v>0</v>
      </c>
      <c r="U89" s="2" t="inlineStr"/>
    </row>
    <row r="90" ht="15" customHeight="1">
      <c r="A90" t="inlineStr">
        <is>
          <t>A 3477-2024</t>
        </is>
      </c>
      <c r="B90" t="inlineStr">
        <is>
          <t>avverkningsanmälan</t>
        </is>
      </c>
      <c r="C90" t="inlineStr">
        <is>
          <t>Föryngringsavverkning</t>
        </is>
      </c>
      <c r="D90" s="1" t="n">
        <v>45320</v>
      </c>
      <c r="E90" s="1" t="n">
        <v>46222</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s="2" t="inlineStr"/>
    </row>
    <row r="91" ht="15" customHeight="1">
      <c r="A91" t="inlineStr">
        <is>
          <t>A 56660-2023</t>
        </is>
      </c>
      <c r="B91" t="inlineStr">
        <is>
          <t>avverkningsanmälan</t>
        </is>
      </c>
      <c r="C91" t="inlineStr">
        <is>
          <t>Föryngringsavverkning</t>
        </is>
      </c>
      <c r="D91" s="1" t="n">
        <v>45243</v>
      </c>
      <c r="E91" s="1" t="n">
        <v>46222</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s="2" t="inlineStr"/>
    </row>
    <row r="92" ht="15" customHeight="1">
      <c r="A92" t="inlineStr">
        <is>
          <t>A 62666-2023</t>
        </is>
      </c>
      <c r="B92" t="inlineStr">
        <is>
          <t>avverkningsanmälan</t>
        </is>
      </c>
      <c r="C92" t="inlineStr">
        <is>
          <t>Föryngringsavverkning</t>
        </is>
      </c>
      <c r="D92" s="1" t="n">
        <v>45271</v>
      </c>
      <c r="E92" s="1" t="n">
        <v>46222</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s="2" t="inlineStr"/>
    </row>
    <row r="93" ht="15" customHeight="1">
      <c r="A93" t="inlineStr">
        <is>
          <t>A 62758-2023</t>
        </is>
      </c>
      <c r="B93" t="inlineStr">
        <is>
          <t>avverkningsanmälan</t>
        </is>
      </c>
      <c r="C93" t="inlineStr">
        <is>
          <t>Föryngringsavverkning</t>
        </is>
      </c>
      <c r="D93" s="1" t="n">
        <v>45268</v>
      </c>
      <c r="E93" s="1" t="n">
        <v>46222</v>
      </c>
      <c r="F93" t="inlineStr">
        <is>
          <t>BLEKINGE LÄN</t>
        </is>
      </c>
      <c r="G93" t="inlineStr">
        <is>
          <t>OLOFSTRÖM</t>
        </is>
      </c>
      <c r="H93" t="inlineStr">
        <is>
          <t>Övriga Aktiebolag</t>
        </is>
      </c>
      <c r="I93" t="n">
        <v>2.5</v>
      </c>
      <c r="J93" t="n">
        <v>0</v>
      </c>
      <c r="K93" t="n">
        <v>0</v>
      </c>
      <c r="L93" t="n">
        <v>0</v>
      </c>
      <c r="M93" t="n">
        <v>0</v>
      </c>
      <c r="N93" t="n">
        <v>0</v>
      </c>
      <c r="O93" t="n">
        <v>0</v>
      </c>
      <c r="P93" t="n">
        <v>0</v>
      </c>
      <c r="Q93" t="n">
        <v>0</v>
      </c>
      <c r="R93" t="n">
        <v>0</v>
      </c>
      <c r="S93" t="n">
        <v>0</v>
      </c>
      <c r="T93" t="n">
        <v>0</v>
      </c>
      <c r="U93" s="2" t="inlineStr"/>
    </row>
    <row r="94" ht="15" customHeight="1">
      <c r="A94" t="inlineStr">
        <is>
          <t>A 2300-2023</t>
        </is>
      </c>
      <c r="B94" t="inlineStr">
        <is>
          <t>avverkningsanmälan</t>
        </is>
      </c>
      <c r="C94" t="inlineStr">
        <is>
          <t>Föryngringsavverkning</t>
        </is>
      </c>
      <c r="D94" s="1" t="n">
        <v>44942</v>
      </c>
      <c r="E94" s="1" t="n">
        <v>46222</v>
      </c>
      <c r="F94" t="inlineStr">
        <is>
          <t>BLEKINGE LÄN</t>
        </is>
      </c>
      <c r="G94" t="inlineStr">
        <is>
          <t>OLOFSTRÖM</t>
        </is>
      </c>
      <c r="H94" t="inlineStr">
        <is>
          <t>Kommuner</t>
        </is>
      </c>
      <c r="I94" t="n">
        <v>3.9</v>
      </c>
      <c r="J94" t="n">
        <v>0</v>
      </c>
      <c r="K94" t="n">
        <v>0</v>
      </c>
      <c r="L94" t="n">
        <v>0</v>
      </c>
      <c r="M94" t="n">
        <v>0</v>
      </c>
      <c r="N94" t="n">
        <v>0</v>
      </c>
      <c r="O94" t="n">
        <v>0</v>
      </c>
      <c r="P94" t="n">
        <v>0</v>
      </c>
      <c r="Q94" t="n">
        <v>0</v>
      </c>
      <c r="R94" t="n">
        <v>0</v>
      </c>
      <c r="S94" t="n">
        <v>0</v>
      </c>
      <c r="T94" t="n">
        <v>0</v>
      </c>
      <c r="U94" s="2" t="inlineStr"/>
    </row>
    <row r="95" ht="15" customHeight="1">
      <c r="A95" t="inlineStr">
        <is>
          <t>A 69510-2021</t>
        </is>
      </c>
      <c r="B95" t="inlineStr">
        <is>
          <t>avverkningsanmälan</t>
        </is>
      </c>
      <c r="C95" t="inlineStr">
        <is>
          <t>Föryngringsavverkning</t>
        </is>
      </c>
      <c r="D95" s="1" t="n">
        <v>44531</v>
      </c>
      <c r="E95" s="1" t="n">
        <v>46222</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s="2" t="inlineStr"/>
    </row>
    <row r="96" ht="15" customHeight="1">
      <c r="A96" t="inlineStr">
        <is>
          <t>A 52223-2022</t>
        </is>
      </c>
      <c r="B96" t="inlineStr">
        <is>
          <t>avverkningsanmälan</t>
        </is>
      </c>
      <c r="C96" t="inlineStr">
        <is>
          <t>Föryngringsavverkning</t>
        </is>
      </c>
      <c r="D96" s="1" t="n">
        <v>44873</v>
      </c>
      <c r="E96" s="1" t="n">
        <v>46222</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s="2" t="inlineStr"/>
    </row>
    <row r="97" ht="15" customHeight="1">
      <c r="A97" t="inlineStr">
        <is>
          <t>A 38973-2024</t>
        </is>
      </c>
      <c r="B97" t="inlineStr">
        <is>
          <t>avverkningsanmälan</t>
        </is>
      </c>
      <c r="C97" t="inlineStr">
        <is>
          <t>Föryngringsavverkning</t>
        </is>
      </c>
      <c r="D97" s="1" t="n">
        <v>45548</v>
      </c>
      <c r="E97" s="1" t="n">
        <v>46222</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s="2" t="inlineStr"/>
    </row>
    <row r="98" ht="15" customHeight="1">
      <c r="A98" t="inlineStr">
        <is>
          <t>A 11122-2024</t>
        </is>
      </c>
      <c r="B98" t="inlineStr">
        <is>
          <t>avverkningsanmälan</t>
        </is>
      </c>
      <c r="C98" t="inlineStr">
        <is>
          <t>Föryngringsavverkning</t>
        </is>
      </c>
      <c r="D98" s="1" t="n">
        <v>45371</v>
      </c>
      <c r="E98" s="1" t="n">
        <v>46222</v>
      </c>
      <c r="F98" t="inlineStr">
        <is>
          <t>BLEKINGE LÄN</t>
        </is>
      </c>
      <c r="G98" t="inlineStr">
        <is>
          <t>OLOFSTRÖM</t>
        </is>
      </c>
      <c r="I98" t="n">
        <v>2.4</v>
      </c>
      <c r="J98" t="n">
        <v>0</v>
      </c>
      <c r="K98" t="n">
        <v>0</v>
      </c>
      <c r="L98" t="n">
        <v>0</v>
      </c>
      <c r="M98" t="n">
        <v>0</v>
      </c>
      <c r="N98" t="n">
        <v>0</v>
      </c>
      <c r="O98" t="n">
        <v>0</v>
      </c>
      <c r="P98" t="n">
        <v>0</v>
      </c>
      <c r="Q98" t="n">
        <v>0</v>
      </c>
      <c r="R98" t="n">
        <v>0</v>
      </c>
      <c r="S98" t="n">
        <v>0</v>
      </c>
      <c r="T98" t="n">
        <v>0</v>
      </c>
      <c r="U98" s="2" t="inlineStr"/>
    </row>
    <row r="99" ht="15" customHeight="1">
      <c r="A99" t="inlineStr">
        <is>
          <t>A 45689-2023</t>
        </is>
      </c>
      <c r="B99" t="inlineStr">
        <is>
          <t>avverkningsanmälan</t>
        </is>
      </c>
      <c r="C99" t="inlineStr">
        <is>
          <t>Föryngringsavverkning</t>
        </is>
      </c>
      <c r="D99" s="1" t="n">
        <v>45195</v>
      </c>
      <c r="E99" s="1" t="n">
        <v>46222</v>
      </c>
      <c r="F99" t="inlineStr">
        <is>
          <t>BLEKINGE LÄN</t>
        </is>
      </c>
      <c r="G99" t="inlineStr">
        <is>
          <t>OLOFSTRÖM</t>
        </is>
      </c>
      <c r="I99" t="n">
        <v>3.4</v>
      </c>
      <c r="J99" t="n">
        <v>0</v>
      </c>
      <c r="K99" t="n">
        <v>0</v>
      </c>
      <c r="L99" t="n">
        <v>0</v>
      </c>
      <c r="M99" t="n">
        <v>0</v>
      </c>
      <c r="N99" t="n">
        <v>0</v>
      </c>
      <c r="O99" t="n">
        <v>0</v>
      </c>
      <c r="P99" t="n">
        <v>0</v>
      </c>
      <c r="Q99" t="n">
        <v>0</v>
      </c>
      <c r="R99" t="n">
        <v>0</v>
      </c>
      <c r="S99" t="n">
        <v>0</v>
      </c>
      <c r="T99" t="n">
        <v>0</v>
      </c>
      <c r="U99" s="2" t="inlineStr"/>
    </row>
    <row r="100" ht="15" customHeight="1">
      <c r="A100" t="inlineStr">
        <is>
          <t>A 10630-2023</t>
        </is>
      </c>
      <c r="B100" t="inlineStr">
        <is>
          <t>avverkningsanmälan</t>
        </is>
      </c>
      <c r="C100" t="inlineStr">
        <is>
          <t>Föryngringsavverkning</t>
        </is>
      </c>
      <c r="D100" s="1" t="n">
        <v>44984</v>
      </c>
      <c r="E100" s="1" t="n">
        <v>46222</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25741-2025</t>
        </is>
      </c>
      <c r="B101" t="inlineStr">
        <is>
          <t>avverkningsanmälan</t>
        </is>
      </c>
      <c r="C101" t="inlineStr">
        <is>
          <t>Föryngringsavverkning</t>
        </is>
      </c>
      <c r="D101" s="1" t="n">
        <v>45803</v>
      </c>
      <c r="E101" s="1" t="n">
        <v>46222</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39050-2024</t>
        </is>
      </c>
      <c r="B102" t="inlineStr">
        <is>
          <t>avverkningsanmälan</t>
        </is>
      </c>
      <c r="C102" t="inlineStr">
        <is>
          <t>Föryngringsavverkning</t>
        </is>
      </c>
      <c r="D102" s="1" t="n">
        <v>45548</v>
      </c>
      <c r="E102" s="1" t="n">
        <v>46222</v>
      </c>
      <c r="F102" t="inlineStr">
        <is>
          <t>BLEKINGE LÄN</t>
        </is>
      </c>
      <c r="G102" t="inlineStr">
        <is>
          <t>OLOFSTRÖM</t>
        </is>
      </c>
      <c r="I102" t="n">
        <v>3.2</v>
      </c>
      <c r="J102" t="n">
        <v>0</v>
      </c>
      <c r="K102" t="n">
        <v>0</v>
      </c>
      <c r="L102" t="n">
        <v>0</v>
      </c>
      <c r="M102" t="n">
        <v>0</v>
      </c>
      <c r="N102" t="n">
        <v>0</v>
      </c>
      <c r="O102" t="n">
        <v>0</v>
      </c>
      <c r="P102" t="n">
        <v>0</v>
      </c>
      <c r="Q102" t="n">
        <v>0</v>
      </c>
      <c r="R102" t="n">
        <v>0</v>
      </c>
      <c r="S102" t="n">
        <v>0</v>
      </c>
      <c r="T102" t="n">
        <v>0</v>
      </c>
      <c r="U102" s="2" t="inlineStr"/>
    </row>
    <row r="103" ht="15" customHeight="1">
      <c r="A103" t="inlineStr">
        <is>
          <t>A 3542-2026</t>
        </is>
      </c>
      <c r="B103" t="inlineStr">
        <is>
          <t>avverkningsanmälan</t>
        </is>
      </c>
      <c r="C103" t="inlineStr">
        <is>
          <t>Föryngringsavverkning</t>
        </is>
      </c>
      <c r="D103" s="1" t="n">
        <v>46042</v>
      </c>
      <c r="E103" s="1" t="n">
        <v>46222</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41640-2024</t>
        </is>
      </c>
      <c r="B104" t="inlineStr">
        <is>
          <t>avverkningsanmälan</t>
        </is>
      </c>
      <c r="C104" t="inlineStr">
        <is>
          <t>Föryngringsavverkning</t>
        </is>
      </c>
      <c r="D104" s="1" t="n">
        <v>45560</v>
      </c>
      <c r="E104" s="1" t="n">
        <v>46222</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7465-2023</t>
        </is>
      </c>
      <c r="B105" t="inlineStr">
        <is>
          <t>avverkningsanmälan</t>
        </is>
      </c>
      <c r="C105" t="inlineStr">
        <is>
          <t>Föryngringsavverkning</t>
        </is>
      </c>
      <c r="D105" s="1" t="n">
        <v>44971</v>
      </c>
      <c r="E105" s="1" t="n">
        <v>46222</v>
      </c>
      <c r="F105" t="inlineStr">
        <is>
          <t>BLEKINGE LÄN</t>
        </is>
      </c>
      <c r="G105" t="inlineStr">
        <is>
          <t>OLOFSTRÖM</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9259-2022</t>
        </is>
      </c>
      <c r="B106" t="inlineStr">
        <is>
          <t>avverkningsanmälan</t>
        </is>
      </c>
      <c r="C106" t="inlineStr">
        <is>
          <t>Föryngringsavverkning</t>
        </is>
      </c>
      <c r="D106" s="1" t="n">
        <v>44616</v>
      </c>
      <c r="E106" s="1" t="n">
        <v>46222</v>
      </c>
      <c r="F106" t="inlineStr">
        <is>
          <t>BLEKINGE LÄN</t>
        </is>
      </c>
      <c r="G106" t="inlineStr">
        <is>
          <t>OLOFSTRÖM</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30740-2023</t>
        </is>
      </c>
      <c r="B107" t="inlineStr">
        <is>
          <t>avverkningsanmälan</t>
        </is>
      </c>
      <c r="C107" t="inlineStr">
        <is>
          <t>Föryngringsavverkning</t>
        </is>
      </c>
      <c r="D107" s="1" t="n">
        <v>45112</v>
      </c>
      <c r="E107" s="1" t="n">
        <v>46222</v>
      </c>
      <c r="F107" t="inlineStr">
        <is>
          <t>BLEKINGE LÄN</t>
        </is>
      </c>
      <c r="G107" t="inlineStr">
        <is>
          <t>OLOFSTRÖM</t>
        </is>
      </c>
      <c r="I107" t="n">
        <v>2.6</v>
      </c>
      <c r="J107" t="n">
        <v>0</v>
      </c>
      <c r="K107" t="n">
        <v>0</v>
      </c>
      <c r="L107" t="n">
        <v>0</v>
      </c>
      <c r="M107" t="n">
        <v>0</v>
      </c>
      <c r="N107" t="n">
        <v>0</v>
      </c>
      <c r="O107" t="n">
        <v>0</v>
      </c>
      <c r="P107" t="n">
        <v>0</v>
      </c>
      <c r="Q107" t="n">
        <v>0</v>
      </c>
      <c r="R107" t="n">
        <v>0</v>
      </c>
      <c r="S107" t="n">
        <v>0</v>
      </c>
      <c r="T107" t="n">
        <v>0</v>
      </c>
      <c r="U107" s="2" t="inlineStr"/>
    </row>
    <row r="108" ht="15" customHeight="1">
      <c r="A108" t="inlineStr">
        <is>
          <t>A 38729-2025</t>
        </is>
      </c>
      <c r="B108" t="inlineStr">
        <is>
          <t>avverkningsanmälan</t>
        </is>
      </c>
      <c r="C108" t="inlineStr">
        <is>
          <t>Föryngringsavverkning</t>
        </is>
      </c>
      <c r="D108" s="1" t="n">
        <v>45887</v>
      </c>
      <c r="E108" s="1" t="n">
        <v>46222</v>
      </c>
      <c r="F108" t="inlineStr">
        <is>
          <t>BLEKINGE LÄN</t>
        </is>
      </c>
      <c r="G108" t="inlineStr">
        <is>
          <t>OLOFSTRÖM</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7461-2023</t>
        </is>
      </c>
      <c r="B109" t="inlineStr">
        <is>
          <t>avverkningsanmälan</t>
        </is>
      </c>
      <c r="C109" t="inlineStr">
        <is>
          <t>Föryngringsavverkning</t>
        </is>
      </c>
      <c r="D109" s="1" t="n">
        <v>44971</v>
      </c>
      <c r="E109" s="1" t="n">
        <v>46222</v>
      </c>
      <c r="F109" t="inlineStr">
        <is>
          <t>BLEKINGE LÄN</t>
        </is>
      </c>
      <c r="G109" t="inlineStr">
        <is>
          <t>OLOFSTRÖM</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39944-2025</t>
        </is>
      </c>
      <c r="B110" t="inlineStr">
        <is>
          <t>avverkningsanmälan</t>
        </is>
      </c>
      <c r="C110" t="inlineStr">
        <is>
          <t>Föryngringsavverkning</t>
        </is>
      </c>
      <c r="D110" s="1" t="n">
        <v>45891</v>
      </c>
      <c r="E110" s="1" t="n">
        <v>46222</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3735-2023</t>
        </is>
      </c>
      <c r="B111" t="inlineStr">
        <is>
          <t>avverkningsanmälan</t>
        </is>
      </c>
      <c r="C111" t="inlineStr">
        <is>
          <t>Föryngringsavverkning</t>
        </is>
      </c>
      <c r="D111" s="1" t="n">
        <v>44951</v>
      </c>
      <c r="E111" s="1" t="n">
        <v>46222</v>
      </c>
      <c r="F111" t="inlineStr">
        <is>
          <t>BLEKINGE LÄN</t>
        </is>
      </c>
      <c r="G111" t="inlineStr">
        <is>
          <t>OLOFSTRÖM</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40518-2025</t>
        </is>
      </c>
      <c r="B112" t="inlineStr">
        <is>
          <t>avverkningsanmälan</t>
        </is>
      </c>
      <c r="C112" t="inlineStr">
        <is>
          <t>Föryngringsavverkning</t>
        </is>
      </c>
      <c r="D112" s="1" t="n">
        <v>45896</v>
      </c>
      <c r="E112" s="1" t="n">
        <v>46222</v>
      </c>
      <c r="F112" t="inlineStr">
        <is>
          <t>BLEKINGE LÄN</t>
        </is>
      </c>
      <c r="G112" t="inlineStr">
        <is>
          <t>OLOFSTRÖM</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57910-2023</t>
        </is>
      </c>
      <c r="B113" t="inlineStr">
        <is>
          <t>avverkningsanmälan</t>
        </is>
      </c>
      <c r="C113" t="inlineStr">
        <is>
          <t>Föryngringsavverkning</t>
        </is>
      </c>
      <c r="D113" s="1" t="n">
        <v>45247</v>
      </c>
      <c r="E113" s="1" t="n">
        <v>46222</v>
      </c>
      <c r="F113" t="inlineStr">
        <is>
          <t>BLEKINGE LÄN</t>
        </is>
      </c>
      <c r="G113" t="inlineStr">
        <is>
          <t>OLOFSTRÖM</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40523-2025</t>
        </is>
      </c>
      <c r="B114" t="inlineStr">
        <is>
          <t>avverkningsanmälan</t>
        </is>
      </c>
      <c r="C114" t="inlineStr">
        <is>
          <t>Föryngringsavverkning</t>
        </is>
      </c>
      <c r="D114" s="1" t="n">
        <v>45896</v>
      </c>
      <c r="E114" s="1" t="n">
        <v>46222</v>
      </c>
      <c r="F114" t="inlineStr">
        <is>
          <t>BLEKINGE LÄN</t>
        </is>
      </c>
      <c r="G114" t="inlineStr">
        <is>
          <t>OLOFSTRÖM</t>
        </is>
      </c>
      <c r="I114" t="n">
        <v>6.2</v>
      </c>
      <c r="J114" t="n">
        <v>0</v>
      </c>
      <c r="K114" t="n">
        <v>0</v>
      </c>
      <c r="L114" t="n">
        <v>0</v>
      </c>
      <c r="M114" t="n">
        <v>0</v>
      </c>
      <c r="N114" t="n">
        <v>0</v>
      </c>
      <c r="O114" t="n">
        <v>0</v>
      </c>
      <c r="P114" t="n">
        <v>0</v>
      </c>
      <c r="Q114" t="n">
        <v>0</v>
      </c>
      <c r="R114" t="n">
        <v>0</v>
      </c>
      <c r="S114" t="n">
        <v>0</v>
      </c>
      <c r="T114" t="n">
        <v>0</v>
      </c>
      <c r="U114" s="2" t="inlineStr"/>
    </row>
    <row r="115" ht="15" customHeight="1">
      <c r="A115" t="inlineStr">
        <is>
          <t>A 40680-2025</t>
        </is>
      </c>
      <c r="B115" t="inlineStr">
        <is>
          <t>avverkningsanmälan</t>
        </is>
      </c>
      <c r="C115" t="inlineStr">
        <is>
          <t>Föryngringsavverkning</t>
        </is>
      </c>
      <c r="D115" s="1" t="n">
        <v>45896</v>
      </c>
      <c r="E115" s="1" t="n">
        <v>46222</v>
      </c>
      <c r="F115" t="inlineStr">
        <is>
          <t>BLEKINGE LÄN</t>
        </is>
      </c>
      <c r="G115" t="inlineStr">
        <is>
          <t>OLOFSTRÖM</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30205-2025</t>
        </is>
      </c>
      <c r="B116" t="inlineStr">
        <is>
          <t>avverkningsanmälan</t>
        </is>
      </c>
      <c r="C116" t="inlineStr">
        <is>
          <t>Föryngringsavverkning</t>
        </is>
      </c>
      <c r="D116" s="1" t="n">
        <v>45827</v>
      </c>
      <c r="E116" s="1" t="n">
        <v>46222</v>
      </c>
      <c r="F116" t="inlineStr">
        <is>
          <t>BLEKINGE LÄN</t>
        </is>
      </c>
      <c r="G116" t="inlineStr">
        <is>
          <t>OLOFSTRÖM</t>
        </is>
      </c>
      <c r="I116" t="n">
        <v>4.7</v>
      </c>
      <c r="J116" t="n">
        <v>0</v>
      </c>
      <c r="K116" t="n">
        <v>0</v>
      </c>
      <c r="L116" t="n">
        <v>0</v>
      </c>
      <c r="M116" t="n">
        <v>0</v>
      </c>
      <c r="N116" t="n">
        <v>0</v>
      </c>
      <c r="O116" t="n">
        <v>0</v>
      </c>
      <c r="P116" t="n">
        <v>0</v>
      </c>
      <c r="Q116" t="n">
        <v>0</v>
      </c>
      <c r="R116" t="n">
        <v>0</v>
      </c>
      <c r="S116" t="n">
        <v>0</v>
      </c>
      <c r="T116" t="n">
        <v>0</v>
      </c>
      <c r="U116" s="2" t="inlineStr"/>
    </row>
    <row r="117" ht="15" customHeight="1">
      <c r="A117" t="inlineStr">
        <is>
          <t>A 53182-2022</t>
        </is>
      </c>
      <c r="B117" t="inlineStr">
        <is>
          <t>avverkningsanmälan</t>
        </is>
      </c>
      <c r="C117" t="inlineStr">
        <is>
          <t>Föryngringsavverkning</t>
        </is>
      </c>
      <c r="D117" s="1" t="n">
        <v>44876</v>
      </c>
      <c r="E117" s="1" t="n">
        <v>46222</v>
      </c>
      <c r="F117" t="inlineStr">
        <is>
          <t>BLEKINGE LÄN</t>
        </is>
      </c>
      <c r="G117" t="inlineStr">
        <is>
          <t>OLOFSTRÖM</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30469-2025</t>
        </is>
      </c>
      <c r="B118" t="inlineStr">
        <is>
          <t>avverkningsanmälan</t>
        </is>
      </c>
      <c r="C118" t="inlineStr">
        <is>
          <t>Avverkning för att bevara och utveckla /försöksver</t>
        </is>
      </c>
      <c r="D118" s="1" t="n">
        <v>45827</v>
      </c>
      <c r="E118" s="1" t="n">
        <v>46222</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s="2" t="inlineStr"/>
    </row>
    <row r="119" ht="15" customHeight="1">
      <c r="A119" t="inlineStr">
        <is>
          <t>A 30470-2025</t>
        </is>
      </c>
      <c r="B119" t="inlineStr">
        <is>
          <t>avverkningsanmälan</t>
        </is>
      </c>
      <c r="C119" t="inlineStr">
        <is>
          <t>Avverkning för att bevara och utveckla /försöksver</t>
        </is>
      </c>
      <c r="D119" s="1" t="n">
        <v>45827</v>
      </c>
      <c r="E119" s="1" t="n">
        <v>46222</v>
      </c>
      <c r="F119" t="inlineStr">
        <is>
          <t>BLEKINGE LÄN</t>
        </is>
      </c>
      <c r="G119" t="inlineStr">
        <is>
          <t>OLOFSTRÖM</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8107-2023</t>
        </is>
      </c>
      <c r="B120" t="inlineStr">
        <is>
          <t>avverkningsanmälan</t>
        </is>
      </c>
      <c r="C120" t="inlineStr">
        <is>
          <t>Föryngringsavverkning</t>
        </is>
      </c>
      <c r="D120" s="1" t="n">
        <v>44970</v>
      </c>
      <c r="E120" s="1" t="n">
        <v>46222</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s="2" t="inlineStr"/>
    </row>
    <row r="121" ht="15" customHeight="1">
      <c r="A121" t="inlineStr">
        <is>
          <t>A 41135-2025</t>
        </is>
      </c>
      <c r="B121" t="inlineStr">
        <is>
          <t>avverkningsanmälan</t>
        </is>
      </c>
      <c r="C121" t="inlineStr">
        <is>
          <t>Föryngringsavverkning</t>
        </is>
      </c>
      <c r="D121" s="1" t="n">
        <v>45898</v>
      </c>
      <c r="E121" s="1" t="n">
        <v>46222</v>
      </c>
      <c r="F121" t="inlineStr">
        <is>
          <t>BLEKINGE LÄN</t>
        </is>
      </c>
      <c r="G121" t="inlineStr">
        <is>
          <t>OLOFSTRÖM</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14665-2025</t>
        </is>
      </c>
      <c r="B122" t="inlineStr">
        <is>
          <t>avverkningsanmälan</t>
        </is>
      </c>
      <c r="C122" t="inlineStr">
        <is>
          <t>Föryngringsavverkning</t>
        </is>
      </c>
      <c r="D122" s="1" t="n">
        <v>45742</v>
      </c>
      <c r="E122" s="1" t="n">
        <v>46222</v>
      </c>
      <c r="F122" t="inlineStr">
        <is>
          <t>BLEKINGE LÄN</t>
        </is>
      </c>
      <c r="G122" t="inlineStr">
        <is>
          <t>OLOFSTRÖM</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41258-2025</t>
        </is>
      </c>
      <c r="B123" t="inlineStr">
        <is>
          <t>avverkningsanmälan</t>
        </is>
      </c>
      <c r="C123" t="inlineStr">
        <is>
          <t>Föryngringsavverkning</t>
        </is>
      </c>
      <c r="D123" s="1" t="n">
        <v>45898</v>
      </c>
      <c r="E123" s="1" t="n">
        <v>46222</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4329-2026</t>
        </is>
      </c>
      <c r="B124" t="inlineStr">
        <is>
          <t>avverkningsanmälan</t>
        </is>
      </c>
      <c r="C124" t="inlineStr">
        <is>
          <t>Föryngringsavverkning</t>
        </is>
      </c>
      <c r="D124" s="1" t="n">
        <v>46045</v>
      </c>
      <c r="E124" s="1" t="n">
        <v>46222</v>
      </c>
      <c r="F124" t="inlineStr">
        <is>
          <t>BLEKINGE LÄN</t>
        </is>
      </c>
      <c r="G124" t="inlineStr">
        <is>
          <t>OLOFSTRÖM</t>
        </is>
      </c>
      <c r="H124" t="inlineStr">
        <is>
          <t>Kommuner</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8235-2023</t>
        </is>
      </c>
      <c r="B125" t="inlineStr">
        <is>
          <t>avverkningsanmälan</t>
        </is>
      </c>
      <c r="C125" t="inlineStr">
        <is>
          <t>Föryngringsavverkning</t>
        </is>
      </c>
      <c r="D125" s="1" t="n">
        <v>44974</v>
      </c>
      <c r="E125" s="1" t="n">
        <v>46222</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8238-2023</t>
        </is>
      </c>
      <c r="B126" t="inlineStr">
        <is>
          <t>avverkningsanmälan</t>
        </is>
      </c>
      <c r="C126" t="inlineStr">
        <is>
          <t>Föryngringsavverkning</t>
        </is>
      </c>
      <c r="D126" s="1" t="n">
        <v>44974</v>
      </c>
      <c r="E126" s="1" t="n">
        <v>46222</v>
      </c>
      <c r="F126" t="inlineStr">
        <is>
          <t>BLEKINGE LÄN</t>
        </is>
      </c>
      <c r="G126" t="inlineStr">
        <is>
          <t>OLOFSTRÖM</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20408-2025</t>
        </is>
      </c>
      <c r="B127" t="inlineStr">
        <is>
          <t>avverkningsanmälan</t>
        </is>
      </c>
      <c r="C127" t="inlineStr">
        <is>
          <t>Föryngringsavverkning</t>
        </is>
      </c>
      <c r="D127" s="1" t="n">
        <v>45775</v>
      </c>
      <c r="E127" s="1" t="n">
        <v>46222</v>
      </c>
      <c r="F127" t="inlineStr">
        <is>
          <t>BLEKINGE LÄN</t>
        </is>
      </c>
      <c r="G127" t="inlineStr">
        <is>
          <t>OLOFSTRÖM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47825-2024</t>
        </is>
      </c>
      <c r="B128" t="inlineStr">
        <is>
          <t>avverkningsanmälan</t>
        </is>
      </c>
      <c r="C128" t="inlineStr">
        <is>
          <t>Föryngringsavverkning</t>
        </is>
      </c>
      <c r="D128" s="1" t="n">
        <v>45588</v>
      </c>
      <c r="E128" s="1" t="n">
        <v>46222</v>
      </c>
      <c r="F128" t="inlineStr">
        <is>
          <t>BLEKINGE LÄN</t>
        </is>
      </c>
      <c r="G128" t="inlineStr">
        <is>
          <t>OLOFSTRÖM</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41748-2025</t>
        </is>
      </c>
      <c r="B129" t="inlineStr">
        <is>
          <t>avverkningsanmälan</t>
        </is>
      </c>
      <c r="C129" t="inlineStr">
        <is>
          <t>Föryngringsavverkning</t>
        </is>
      </c>
      <c r="D129" s="1" t="n">
        <v>45902</v>
      </c>
      <c r="E129" s="1" t="n">
        <v>46222</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41752-2025</t>
        </is>
      </c>
      <c r="B130" t="inlineStr">
        <is>
          <t>avverkningsanmälan</t>
        </is>
      </c>
      <c r="C130" t="inlineStr">
        <is>
          <t>Föryngringsavverkning</t>
        </is>
      </c>
      <c r="D130" s="1" t="n">
        <v>45902</v>
      </c>
      <c r="E130" s="1" t="n">
        <v>46222</v>
      </c>
      <c r="F130" t="inlineStr">
        <is>
          <t>BLEKINGE LÄN</t>
        </is>
      </c>
      <c r="G130" t="inlineStr">
        <is>
          <t>OLOFSTRÖM</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5465-2026</t>
        </is>
      </c>
      <c r="B131" t="inlineStr">
        <is>
          <t>avverkningsanmälan</t>
        </is>
      </c>
      <c r="C131" t="inlineStr">
        <is>
          <t>Föryngringsavverkning</t>
        </is>
      </c>
      <c r="D131" s="1" t="n">
        <v>46050</v>
      </c>
      <c r="E131" s="1" t="n">
        <v>46222</v>
      </c>
      <c r="F131" t="inlineStr">
        <is>
          <t>BLEKINGE LÄN</t>
        </is>
      </c>
      <c r="G131" t="inlineStr">
        <is>
          <t>OLOFSTRÖM</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39058-2024</t>
        </is>
      </c>
      <c r="B132" t="inlineStr">
        <is>
          <t>avverkningsanmälan</t>
        </is>
      </c>
      <c r="C132" t="inlineStr">
        <is>
          <t>Föryngringsavverkning</t>
        </is>
      </c>
      <c r="D132" s="1" t="n">
        <v>45548</v>
      </c>
      <c r="E132" s="1" t="n">
        <v>46222</v>
      </c>
      <c r="F132" t="inlineStr">
        <is>
          <t>BLEKINGE LÄN</t>
        </is>
      </c>
      <c r="G132" t="inlineStr">
        <is>
          <t>OLOFSTRÖM</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42091-2025</t>
        </is>
      </c>
      <c r="B133" t="inlineStr">
        <is>
          <t>avverkningsanmälan</t>
        </is>
      </c>
      <c r="C133" t="inlineStr">
        <is>
          <t>Föryngringsavverkning</t>
        </is>
      </c>
      <c r="D133" s="1" t="n">
        <v>45903</v>
      </c>
      <c r="E133" s="1" t="n">
        <v>46222</v>
      </c>
      <c r="F133" t="inlineStr">
        <is>
          <t>BLEKINGE LÄN</t>
        </is>
      </c>
      <c r="G133" t="inlineStr">
        <is>
          <t>OLOFSTRÖM</t>
        </is>
      </c>
      <c r="I133" t="n">
        <v>4.7</v>
      </c>
      <c r="J133" t="n">
        <v>0</v>
      </c>
      <c r="K133" t="n">
        <v>0</v>
      </c>
      <c r="L133" t="n">
        <v>0</v>
      </c>
      <c r="M133" t="n">
        <v>0</v>
      </c>
      <c r="N133" t="n">
        <v>0</v>
      </c>
      <c r="O133" t="n">
        <v>0</v>
      </c>
      <c r="P133" t="n">
        <v>0</v>
      </c>
      <c r="Q133" t="n">
        <v>0</v>
      </c>
      <c r="R133" t="n">
        <v>0</v>
      </c>
      <c r="S133" t="n">
        <v>0</v>
      </c>
      <c r="T133" t="n">
        <v>0</v>
      </c>
      <c r="U133" s="2" t="inlineStr"/>
    </row>
    <row r="134" ht="15" customHeight="1">
      <c r="A134" t="inlineStr">
        <is>
          <t>A 52689-2023</t>
        </is>
      </c>
      <c r="B134" t="inlineStr">
        <is>
          <t>avverkningsanmälan</t>
        </is>
      </c>
      <c r="C134" t="inlineStr">
        <is>
          <t>Föryngringsavverkning</t>
        </is>
      </c>
      <c r="D134" s="1" t="n">
        <v>45225</v>
      </c>
      <c r="E134" s="1" t="n">
        <v>46222</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43212-2025</t>
        </is>
      </c>
      <c r="B135" t="inlineStr">
        <is>
          <t>avverkningsanmälan</t>
        </is>
      </c>
      <c r="C135" t="inlineStr">
        <is>
          <t>Föryngringsavverkning</t>
        </is>
      </c>
      <c r="D135" s="1" t="n">
        <v>45910</v>
      </c>
      <c r="E135" s="1" t="n">
        <v>46222</v>
      </c>
      <c r="F135" t="inlineStr">
        <is>
          <t>BLEKINGE LÄN</t>
        </is>
      </c>
      <c r="G135" t="inlineStr">
        <is>
          <t>OLOFSTRÖM</t>
        </is>
      </c>
      <c r="I135" t="n">
        <v>1.9</v>
      </c>
      <c r="J135" t="n">
        <v>0</v>
      </c>
      <c r="K135" t="n">
        <v>0</v>
      </c>
      <c r="L135" t="n">
        <v>0</v>
      </c>
      <c r="M135" t="n">
        <v>0</v>
      </c>
      <c r="N135" t="n">
        <v>0</v>
      </c>
      <c r="O135" t="n">
        <v>0</v>
      </c>
      <c r="P135" t="n">
        <v>0</v>
      </c>
      <c r="Q135" t="n">
        <v>0</v>
      </c>
      <c r="R135" t="n">
        <v>0</v>
      </c>
      <c r="S135" t="n">
        <v>0</v>
      </c>
      <c r="T135" t="n">
        <v>0</v>
      </c>
      <c r="U135" s="2" t="inlineStr"/>
    </row>
    <row r="136" ht="15" customHeight="1">
      <c r="A136" t="inlineStr">
        <is>
          <t>A 10248-2022</t>
        </is>
      </c>
      <c r="B136" t="inlineStr">
        <is>
          <t>avverkningsanmälan</t>
        </is>
      </c>
      <c r="C136" t="inlineStr">
        <is>
          <t>Föryngringsavverkning</t>
        </is>
      </c>
      <c r="D136" s="1" t="n">
        <v>44622</v>
      </c>
      <c r="E136" s="1" t="n">
        <v>46222</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s="2" t="inlineStr"/>
    </row>
    <row r="137" ht="15" customHeight="1">
      <c r="A137" t="inlineStr">
        <is>
          <t>A 62698-2023</t>
        </is>
      </c>
      <c r="B137" t="inlineStr">
        <is>
          <t>avverkningsanmälan</t>
        </is>
      </c>
      <c r="C137" t="inlineStr">
        <is>
          <t>Föryngringsavverkning</t>
        </is>
      </c>
      <c r="D137" s="1" t="n">
        <v>45268</v>
      </c>
      <c r="E137" s="1" t="n">
        <v>46222</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46315-2025</t>
        </is>
      </c>
      <c r="B138" t="inlineStr">
        <is>
          <t>avverkningsanmälan</t>
        </is>
      </c>
      <c r="C138" t="inlineStr">
        <is>
          <t>Föryngringsavverkning</t>
        </is>
      </c>
      <c r="D138" s="1" t="n">
        <v>45925</v>
      </c>
      <c r="E138" s="1" t="n">
        <v>46222</v>
      </c>
      <c r="F138" t="inlineStr">
        <is>
          <t>BLEKINGE LÄN</t>
        </is>
      </c>
      <c r="G138" t="inlineStr">
        <is>
          <t>OLOFSTRÖM</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46325-2025</t>
        </is>
      </c>
      <c r="B139" t="inlineStr">
        <is>
          <t>avverkningsanmälan</t>
        </is>
      </c>
      <c r="C139" t="inlineStr">
        <is>
          <t>Föryngringsavverkning</t>
        </is>
      </c>
      <c r="D139" s="1" t="n">
        <v>45925</v>
      </c>
      <c r="E139" s="1" t="n">
        <v>46222</v>
      </c>
      <c r="F139" t="inlineStr">
        <is>
          <t>BLEKINGE LÄN</t>
        </is>
      </c>
      <c r="G139" t="inlineStr">
        <is>
          <t>OLOFSTRÖM</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6563-2025</t>
        </is>
      </c>
      <c r="B140" t="inlineStr">
        <is>
          <t>avverkningsanmälan</t>
        </is>
      </c>
      <c r="C140" t="inlineStr">
        <is>
          <t>Föryngringsavverkning</t>
        </is>
      </c>
      <c r="D140" s="1" t="n">
        <v>45699</v>
      </c>
      <c r="E140" s="1" t="n">
        <v>46222</v>
      </c>
      <c r="F140" t="inlineStr">
        <is>
          <t>BLEKINGE LÄN</t>
        </is>
      </c>
      <c r="G140" t="inlineStr">
        <is>
          <t>OLOFSTRÖM</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55995-2024</t>
        </is>
      </c>
      <c r="B141" t="inlineStr">
        <is>
          <t>avverkningsanmälan</t>
        </is>
      </c>
      <c r="C141" t="inlineStr">
        <is>
          <t>Föryngringsavverkning</t>
        </is>
      </c>
      <c r="D141" s="1" t="n">
        <v>45623</v>
      </c>
      <c r="E141" s="1" t="n">
        <v>46222</v>
      </c>
      <c r="F141" t="inlineStr">
        <is>
          <t>BLEKINGE LÄN</t>
        </is>
      </c>
      <c r="G141" t="inlineStr">
        <is>
          <t>OLOFSTRÖM</t>
        </is>
      </c>
      <c r="I141" t="n">
        <v>0.2</v>
      </c>
      <c r="J141" t="n">
        <v>0</v>
      </c>
      <c r="K141" t="n">
        <v>0</v>
      </c>
      <c r="L141" t="n">
        <v>0</v>
      </c>
      <c r="M141" t="n">
        <v>0</v>
      </c>
      <c r="N141" t="n">
        <v>0</v>
      </c>
      <c r="O141" t="n">
        <v>0</v>
      </c>
      <c r="P141" t="n">
        <v>0</v>
      </c>
      <c r="Q141" t="n">
        <v>0</v>
      </c>
      <c r="R141" t="n">
        <v>0</v>
      </c>
      <c r="S141" t="n">
        <v>0</v>
      </c>
      <c r="T141" t="n">
        <v>0</v>
      </c>
      <c r="U141" s="2" t="inlineStr"/>
    </row>
    <row r="142" ht="15" customHeight="1">
      <c r="A142" t="inlineStr">
        <is>
          <t>A 47226-2025</t>
        </is>
      </c>
      <c r="B142" t="inlineStr">
        <is>
          <t>avverkningsanmälan</t>
        </is>
      </c>
      <c r="C142" t="inlineStr">
        <is>
          <t>Föryngringsavverkning</t>
        </is>
      </c>
      <c r="D142" s="1" t="n">
        <v>45930</v>
      </c>
      <c r="E142" s="1" t="n">
        <v>46222</v>
      </c>
      <c r="F142" t="inlineStr">
        <is>
          <t>BLEKINGE LÄN</t>
        </is>
      </c>
      <c r="G142" t="inlineStr">
        <is>
          <t>OLOFSTRÖM</t>
        </is>
      </c>
      <c r="I142" t="n">
        <v>7.3</v>
      </c>
      <c r="J142" t="n">
        <v>0</v>
      </c>
      <c r="K142" t="n">
        <v>0</v>
      </c>
      <c r="L142" t="n">
        <v>0</v>
      </c>
      <c r="M142" t="n">
        <v>0</v>
      </c>
      <c r="N142" t="n">
        <v>0</v>
      </c>
      <c r="O142" t="n">
        <v>0</v>
      </c>
      <c r="P142" t="n">
        <v>0</v>
      </c>
      <c r="Q142" t="n">
        <v>0</v>
      </c>
      <c r="R142" t="n">
        <v>0</v>
      </c>
      <c r="S142" t="n">
        <v>0</v>
      </c>
      <c r="T142" t="n">
        <v>0</v>
      </c>
      <c r="U142" s="2" t="inlineStr"/>
    </row>
    <row r="143" ht="15" customHeight="1">
      <c r="A143" t="inlineStr">
        <is>
          <t>A 6748-2026</t>
        </is>
      </c>
      <c r="B143" t="inlineStr">
        <is>
          <t>avverkningsanmälan</t>
        </is>
      </c>
      <c r="C143" t="inlineStr">
        <is>
          <t>Föryngringsavverkning</t>
        </is>
      </c>
      <c r="D143" s="1" t="n">
        <v>46056</v>
      </c>
      <c r="E143" s="1" t="n">
        <v>46222</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1015-2023</t>
        </is>
      </c>
      <c r="B144" t="inlineStr">
        <is>
          <t>avverkningsanmälan</t>
        </is>
      </c>
      <c r="C144" t="inlineStr">
        <is>
          <t>Föryngringsavverkning</t>
        </is>
      </c>
      <c r="D144" s="1" t="n">
        <v>44935</v>
      </c>
      <c r="E144" s="1" t="n">
        <v>46222</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57238-2024</t>
        </is>
      </c>
      <c r="B145" t="inlineStr">
        <is>
          <t>avverkningsanmälan</t>
        </is>
      </c>
      <c r="C145" t="inlineStr">
        <is>
          <t>Föryngringsavverkning</t>
        </is>
      </c>
      <c r="D145" s="1" t="n">
        <v>45629</v>
      </c>
      <c r="E145" s="1" t="n">
        <v>46222</v>
      </c>
      <c r="F145" t="inlineStr">
        <is>
          <t>BLEKINGE LÄN</t>
        </is>
      </c>
      <c r="G145" t="inlineStr">
        <is>
          <t>OLOFSTRÖM</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49056-2024</t>
        </is>
      </c>
      <c r="B146" t="inlineStr">
        <is>
          <t>avverkningsanmälan</t>
        </is>
      </c>
      <c r="C146" t="inlineStr">
        <is>
          <t>Föryngringsavverkning</t>
        </is>
      </c>
      <c r="D146" s="1" t="n">
        <v>45594</v>
      </c>
      <c r="E146" s="1" t="n">
        <v>46222</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48846-2024</t>
        </is>
      </c>
      <c r="B147" t="inlineStr">
        <is>
          <t>avverkningsanmälan</t>
        </is>
      </c>
      <c r="C147" t="inlineStr">
        <is>
          <t>Föryngringsavverkning</t>
        </is>
      </c>
      <c r="D147" s="1" t="n">
        <v>45593</v>
      </c>
      <c r="E147" s="1" t="n">
        <v>46222</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36427-2025</t>
        </is>
      </c>
      <c r="B148" t="inlineStr">
        <is>
          <t>avverkningsanmälan</t>
        </is>
      </c>
      <c r="C148" t="inlineStr">
        <is>
          <t>Föryngringsavverkning</t>
        </is>
      </c>
      <c r="D148" s="1" t="n">
        <v>45868</v>
      </c>
      <c r="E148" s="1" t="n">
        <v>46222</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50870-2024</t>
        </is>
      </c>
      <c r="B149" t="inlineStr">
        <is>
          <t>avverkningsanmälan</t>
        </is>
      </c>
      <c r="C149" t="inlineStr">
        <is>
          <t>Föryngringsavverkning</t>
        </is>
      </c>
      <c r="D149" s="1" t="n">
        <v>45602</v>
      </c>
      <c r="E149" s="1" t="n">
        <v>46222</v>
      </c>
      <c r="F149" t="inlineStr">
        <is>
          <t>BLEKINGE LÄN</t>
        </is>
      </c>
      <c r="G149" t="inlineStr">
        <is>
          <t>OLOFSTRÖM</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59710-2024</t>
        </is>
      </c>
      <c r="B150" t="inlineStr">
        <is>
          <t>avverkningsanmälan</t>
        </is>
      </c>
      <c r="C150" t="inlineStr">
        <is>
          <t>Föryngringsavverkning</t>
        </is>
      </c>
      <c r="D150" s="1" t="n">
        <v>45639</v>
      </c>
      <c r="E150" s="1" t="n">
        <v>46222</v>
      </c>
      <c r="F150" t="inlineStr">
        <is>
          <t>BLEKINGE LÄN</t>
        </is>
      </c>
      <c r="G150" t="inlineStr">
        <is>
          <t>OLOFSTRÖM</t>
        </is>
      </c>
      <c r="I150" t="n">
        <v>6.7</v>
      </c>
      <c r="J150" t="n">
        <v>0</v>
      </c>
      <c r="K150" t="n">
        <v>0</v>
      </c>
      <c r="L150" t="n">
        <v>0</v>
      </c>
      <c r="M150" t="n">
        <v>0</v>
      </c>
      <c r="N150" t="n">
        <v>0</v>
      </c>
      <c r="O150" t="n">
        <v>0</v>
      </c>
      <c r="P150" t="n">
        <v>0</v>
      </c>
      <c r="Q150" t="n">
        <v>0</v>
      </c>
      <c r="R150" t="n">
        <v>0</v>
      </c>
      <c r="S150" t="n">
        <v>0</v>
      </c>
      <c r="T150" t="n">
        <v>0</v>
      </c>
      <c r="U150" s="2" t="inlineStr"/>
    </row>
    <row r="151" ht="15" customHeight="1">
      <c r="A151" t="inlineStr">
        <is>
          <t>A 49271-2025</t>
        </is>
      </c>
      <c r="B151" t="inlineStr">
        <is>
          <t>avverkningsanmälan</t>
        </is>
      </c>
      <c r="C151" t="inlineStr">
        <is>
          <t>Föryngringsavverkning</t>
        </is>
      </c>
      <c r="D151" s="1" t="n">
        <v>45938</v>
      </c>
      <c r="E151" s="1" t="n">
        <v>46222</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49784-2025</t>
        </is>
      </c>
      <c r="B152" t="inlineStr">
        <is>
          <t>avverkningsanmälan</t>
        </is>
      </c>
      <c r="C152" t="inlineStr">
        <is>
          <t>Föryngringsavverkning</t>
        </is>
      </c>
      <c r="D152" s="1" t="n">
        <v>45940</v>
      </c>
      <c r="E152" s="1" t="n">
        <v>46222</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10144-2025</t>
        </is>
      </c>
      <c r="B153" t="inlineStr">
        <is>
          <t>avverkningsanmälan</t>
        </is>
      </c>
      <c r="C153" t="inlineStr">
        <is>
          <t>Föryngringsavverkning</t>
        </is>
      </c>
      <c r="D153" s="1" t="n">
        <v>45719</v>
      </c>
      <c r="E153" s="1" t="n">
        <v>46222</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55421-2023</t>
        </is>
      </c>
      <c r="B154" t="inlineStr">
        <is>
          <t>avverkningsanmälan</t>
        </is>
      </c>
      <c r="C154" t="inlineStr">
        <is>
          <t>Föryngringsavverkning</t>
        </is>
      </c>
      <c r="D154" s="1" t="n">
        <v>45238</v>
      </c>
      <c r="E154" s="1" t="n">
        <v>46222</v>
      </c>
      <c r="F154" t="inlineStr">
        <is>
          <t>BLEKINGE LÄN</t>
        </is>
      </c>
      <c r="G154" t="inlineStr">
        <is>
          <t>OLOFSTRÖM</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21090-2022</t>
        </is>
      </c>
      <c r="B155" t="inlineStr">
        <is>
          <t>avverkningsanmälan</t>
        </is>
      </c>
      <c r="C155" t="inlineStr">
        <is>
          <t>Föryngringsavverkning</t>
        </is>
      </c>
      <c r="D155" s="1" t="n">
        <v>44704</v>
      </c>
      <c r="E155" s="1" t="n">
        <v>46222</v>
      </c>
      <c r="F155" t="inlineStr">
        <is>
          <t>BLEKINGE LÄN</t>
        </is>
      </c>
      <c r="G155" t="inlineStr">
        <is>
          <t>OLOFSTRÖM</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61123-2024</t>
        </is>
      </c>
      <c r="B156" t="inlineStr">
        <is>
          <t>avverkningsanmälan</t>
        </is>
      </c>
      <c r="C156" t="inlineStr">
        <is>
          <t>Föryngringsavverkning</t>
        </is>
      </c>
      <c r="D156" s="1" t="n">
        <v>45645</v>
      </c>
      <c r="E156" s="1" t="n">
        <v>46222</v>
      </c>
      <c r="F156" t="inlineStr">
        <is>
          <t>BLEKINGE LÄN</t>
        </is>
      </c>
      <c r="G156" t="inlineStr">
        <is>
          <t>OLOFSTRÖM</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34163-2022</t>
        </is>
      </c>
      <c r="B157" t="inlineStr">
        <is>
          <t>avverkningsanmälan</t>
        </is>
      </c>
      <c r="C157" t="inlineStr">
        <is>
          <t>Avverkning för annat ändamål</t>
        </is>
      </c>
      <c r="D157" s="1" t="n">
        <v>44791</v>
      </c>
      <c r="E157" s="1" t="n">
        <v>46222</v>
      </c>
      <c r="F157" t="inlineStr">
        <is>
          <t>BLEKINGE LÄN</t>
        </is>
      </c>
      <c r="G157" t="inlineStr">
        <is>
          <t>OLOFSTRÖM</t>
        </is>
      </c>
      <c r="H157" t="inlineStr">
        <is>
          <t>Kommuner</t>
        </is>
      </c>
      <c r="I157" t="n">
        <v>8.300000000000001</v>
      </c>
      <c r="J157" t="n">
        <v>0</v>
      </c>
      <c r="K157" t="n">
        <v>0</v>
      </c>
      <c r="L157" t="n">
        <v>0</v>
      </c>
      <c r="M157" t="n">
        <v>0</v>
      </c>
      <c r="N157" t="n">
        <v>0</v>
      </c>
      <c r="O157" t="n">
        <v>0</v>
      </c>
      <c r="P157" t="n">
        <v>0</v>
      </c>
      <c r="Q157" t="n">
        <v>0</v>
      </c>
      <c r="R157" t="n">
        <v>0</v>
      </c>
      <c r="S157" t="n">
        <v>0</v>
      </c>
      <c r="T157" t="n">
        <v>0</v>
      </c>
      <c r="U157" s="2" t="inlineStr"/>
    </row>
    <row r="158" ht="15" customHeight="1">
      <c r="A158" t="inlineStr">
        <is>
          <t>A 49704-2021</t>
        </is>
      </c>
      <c r="B158" t="inlineStr">
        <is>
          <t>avverkningsanmälan</t>
        </is>
      </c>
      <c r="C158" t="inlineStr">
        <is>
          <t>Föryngringsavverkning</t>
        </is>
      </c>
      <c r="D158" s="1" t="n">
        <v>44455</v>
      </c>
      <c r="E158" s="1" t="n">
        <v>46222</v>
      </c>
      <c r="F158" t="inlineStr">
        <is>
          <t>BLEKINGE LÄN</t>
        </is>
      </c>
      <c r="G158" t="inlineStr">
        <is>
          <t>OLOFSTRÖM</t>
        </is>
      </c>
      <c r="I158" t="n">
        <v>8.199999999999999</v>
      </c>
      <c r="J158" t="n">
        <v>0</v>
      </c>
      <c r="K158" t="n">
        <v>0</v>
      </c>
      <c r="L158" t="n">
        <v>0</v>
      </c>
      <c r="M158" t="n">
        <v>0</v>
      </c>
      <c r="N158" t="n">
        <v>0</v>
      </c>
      <c r="O158" t="n">
        <v>0</v>
      </c>
      <c r="P158" t="n">
        <v>0</v>
      </c>
      <c r="Q158" t="n">
        <v>0</v>
      </c>
      <c r="R158" t="n">
        <v>0</v>
      </c>
      <c r="S158" t="n">
        <v>0</v>
      </c>
      <c r="T158" t="n">
        <v>0</v>
      </c>
      <c r="U158" s="2" t="inlineStr"/>
    </row>
    <row r="159" ht="15" customHeight="1">
      <c r="A159" t="inlineStr">
        <is>
          <t>A 5551-2025</t>
        </is>
      </c>
      <c r="B159" t="inlineStr">
        <is>
          <t>avverkningsanmälan</t>
        </is>
      </c>
      <c r="C159" t="inlineStr">
        <is>
          <t>Föryngringsavverkning</t>
        </is>
      </c>
      <c r="D159" s="1" t="n">
        <v>45693</v>
      </c>
      <c r="E159" s="1" t="n">
        <v>46222</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8428-2026</t>
        </is>
      </c>
      <c r="B160" t="inlineStr">
        <is>
          <t>avverkningsanmälan</t>
        </is>
      </c>
      <c r="C160" t="inlineStr">
        <is>
          <t>Föryngringsavverkning</t>
        </is>
      </c>
      <c r="D160" s="1" t="n">
        <v>46065</v>
      </c>
      <c r="E160" s="1" t="n">
        <v>46222</v>
      </c>
      <c r="F160" t="inlineStr">
        <is>
          <t>BLEKINGE LÄN</t>
        </is>
      </c>
      <c r="G160" t="inlineStr">
        <is>
          <t>OLOFSTRÖM</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7810-2026</t>
        </is>
      </c>
      <c r="B161" t="inlineStr">
        <is>
          <t>avverkningsanmälan</t>
        </is>
      </c>
      <c r="C161" t="inlineStr">
        <is>
          <t>Föryngringsavverkning</t>
        </is>
      </c>
      <c r="D161" s="1" t="n">
        <v>46059</v>
      </c>
      <c r="E161" s="1" t="n">
        <v>46222</v>
      </c>
      <c r="F161" t="inlineStr">
        <is>
          <t>BLEKINGE LÄN</t>
        </is>
      </c>
      <c r="G161" t="inlineStr">
        <is>
          <t>OLOFSTRÖM</t>
        </is>
      </c>
      <c r="I161" t="n">
        <v>16.2</v>
      </c>
      <c r="J161" t="n">
        <v>0</v>
      </c>
      <c r="K161" t="n">
        <v>0</v>
      </c>
      <c r="L161" t="n">
        <v>0</v>
      </c>
      <c r="M161" t="n">
        <v>0</v>
      </c>
      <c r="N161" t="n">
        <v>0</v>
      </c>
      <c r="O161" t="n">
        <v>0</v>
      </c>
      <c r="P161" t="n">
        <v>0</v>
      </c>
      <c r="Q161" t="n">
        <v>0</v>
      </c>
      <c r="R161" t="n">
        <v>0</v>
      </c>
      <c r="S161" t="n">
        <v>0</v>
      </c>
      <c r="T161" t="n">
        <v>0</v>
      </c>
      <c r="U161" s="2" t="inlineStr"/>
    </row>
    <row r="162" ht="15" customHeight="1">
      <c r="A162" t="inlineStr">
        <is>
          <t>A 52694-2025</t>
        </is>
      </c>
      <c r="B162" t="inlineStr">
        <is>
          <t>avverkningsanmälan</t>
        </is>
      </c>
      <c r="C162" t="inlineStr">
        <is>
          <t>Avverkning för att bevara och utveckla /försöksver</t>
        </is>
      </c>
      <c r="D162" s="1" t="n">
        <v>45956</v>
      </c>
      <c r="E162" s="1" t="n">
        <v>46222</v>
      </c>
      <c r="F162" t="inlineStr">
        <is>
          <t>BLEKINGE LÄN</t>
        </is>
      </c>
      <c r="G162" t="inlineStr">
        <is>
          <t>OLOFSTRÖM</t>
        </is>
      </c>
      <c r="H162" t="inlineStr">
        <is>
          <t>Sveaskog</t>
        </is>
      </c>
      <c r="I162" t="n">
        <v>4.1</v>
      </c>
      <c r="J162" t="n">
        <v>0</v>
      </c>
      <c r="K162" t="n">
        <v>0</v>
      </c>
      <c r="L162" t="n">
        <v>0</v>
      </c>
      <c r="M162" t="n">
        <v>0</v>
      </c>
      <c r="N162" t="n">
        <v>0</v>
      </c>
      <c r="O162" t="n">
        <v>0</v>
      </c>
      <c r="P162" t="n">
        <v>0</v>
      </c>
      <c r="Q162" t="n">
        <v>0</v>
      </c>
      <c r="R162" t="n">
        <v>0</v>
      </c>
      <c r="S162" t="n">
        <v>0</v>
      </c>
      <c r="T162" t="n">
        <v>0</v>
      </c>
      <c r="U162" s="2" t="inlineStr"/>
    </row>
    <row r="163" ht="15" customHeight="1">
      <c r="A163" t="inlineStr">
        <is>
          <t>A 52751-2025</t>
        </is>
      </c>
      <c r="B163" t="inlineStr">
        <is>
          <t>avverkningsanmälan</t>
        </is>
      </c>
      <c r="C163" t="inlineStr">
        <is>
          <t>Föryngringsavverkning</t>
        </is>
      </c>
      <c r="D163" s="1" t="n">
        <v>45957</v>
      </c>
      <c r="E163" s="1" t="n">
        <v>46222</v>
      </c>
      <c r="F163" t="inlineStr">
        <is>
          <t>BLEKINGE LÄN</t>
        </is>
      </c>
      <c r="G163" t="inlineStr">
        <is>
          <t>OLOFSTRÖM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7757-2026</t>
        </is>
      </c>
      <c r="B164" t="inlineStr">
        <is>
          <t>avverkningsanmälan</t>
        </is>
      </c>
      <c r="C164" t="inlineStr">
        <is>
          <t>Föryngringsavverkning</t>
        </is>
      </c>
      <c r="D164" s="1" t="n">
        <v>46059</v>
      </c>
      <c r="E164" s="1" t="n">
        <v>46222</v>
      </c>
      <c r="F164" t="inlineStr">
        <is>
          <t>BLEKINGE LÄN</t>
        </is>
      </c>
      <c r="G164" t="inlineStr">
        <is>
          <t>OLOFSTRÖM</t>
        </is>
      </c>
      <c r="I164" t="n">
        <v>7</v>
      </c>
      <c r="J164" t="n">
        <v>0</v>
      </c>
      <c r="K164" t="n">
        <v>0</v>
      </c>
      <c r="L164" t="n">
        <v>0</v>
      </c>
      <c r="M164" t="n">
        <v>0</v>
      </c>
      <c r="N164" t="n">
        <v>0</v>
      </c>
      <c r="O164" t="n">
        <v>0</v>
      </c>
      <c r="P164" t="n">
        <v>0</v>
      </c>
      <c r="Q164" t="n">
        <v>0</v>
      </c>
      <c r="R164" t="n">
        <v>0</v>
      </c>
      <c r="S164" t="n">
        <v>0</v>
      </c>
      <c r="T164" t="n">
        <v>0</v>
      </c>
      <c r="U164" s="2" t="inlineStr"/>
    </row>
    <row r="165" ht="15" customHeight="1">
      <c r="A165" t="inlineStr">
        <is>
          <t>A 8040-2025</t>
        </is>
      </c>
      <c r="B165" t="inlineStr">
        <is>
          <t>avverkningsanmälan</t>
        </is>
      </c>
      <c r="C165" t="inlineStr">
        <is>
          <t>Föryngringsavverkning</t>
        </is>
      </c>
      <c r="D165" s="1" t="n">
        <v>45707</v>
      </c>
      <c r="E165" s="1" t="n">
        <v>46222</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9279-2026</t>
        </is>
      </c>
      <c r="B166" t="inlineStr">
        <is>
          <t>avverkningsanmälan</t>
        </is>
      </c>
      <c r="C166" t="inlineStr">
        <is>
          <t>Föryngringsavverkning</t>
        </is>
      </c>
      <c r="D166" s="1" t="n">
        <v>46070</v>
      </c>
      <c r="E166" s="1" t="n">
        <v>46222</v>
      </c>
      <c r="F166" t="inlineStr">
        <is>
          <t>BLEKINGE LÄN</t>
        </is>
      </c>
      <c r="G166" t="inlineStr">
        <is>
          <t>OLOFSTRÖM</t>
        </is>
      </c>
      <c r="I166" t="n">
        <v>2.8</v>
      </c>
      <c r="J166" t="n">
        <v>0</v>
      </c>
      <c r="K166" t="n">
        <v>0</v>
      </c>
      <c r="L166" t="n">
        <v>0</v>
      </c>
      <c r="M166" t="n">
        <v>0</v>
      </c>
      <c r="N166" t="n">
        <v>0</v>
      </c>
      <c r="O166" t="n">
        <v>0</v>
      </c>
      <c r="P166" t="n">
        <v>0</v>
      </c>
      <c r="Q166" t="n">
        <v>0</v>
      </c>
      <c r="R166" t="n">
        <v>0</v>
      </c>
      <c r="S166" t="n">
        <v>0</v>
      </c>
      <c r="T166" t="n">
        <v>0</v>
      </c>
      <c r="U166" s="2" t="inlineStr"/>
    </row>
    <row r="167" ht="15" customHeight="1">
      <c r="A167" t="inlineStr">
        <is>
          <t>A 9291-2026</t>
        </is>
      </c>
      <c r="B167" t="inlineStr">
        <is>
          <t>avverkningsanmälan</t>
        </is>
      </c>
      <c r="C167" t="inlineStr">
        <is>
          <t>Föryngringsavverkning</t>
        </is>
      </c>
      <c r="D167" s="1" t="n">
        <v>46070</v>
      </c>
      <c r="E167" s="1" t="n">
        <v>46222</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9309-2026</t>
        </is>
      </c>
      <c r="B168" t="inlineStr">
        <is>
          <t>avverkningsanmälan</t>
        </is>
      </c>
      <c r="C168" t="inlineStr">
        <is>
          <t>Föryngringsavverkning</t>
        </is>
      </c>
      <c r="D168" s="1" t="n">
        <v>46070</v>
      </c>
      <c r="E168" s="1" t="n">
        <v>46222</v>
      </c>
      <c r="F168" t="inlineStr">
        <is>
          <t>BLEKINGE LÄN</t>
        </is>
      </c>
      <c r="G168" t="inlineStr">
        <is>
          <t>OLOFSTRÖM</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39880-2023</t>
        </is>
      </c>
      <c r="B169" t="inlineStr">
        <is>
          <t>avverkningsanmälan</t>
        </is>
      </c>
      <c r="C169" t="inlineStr">
        <is>
          <t>Föryngringsavverkning</t>
        </is>
      </c>
      <c r="D169" s="1" t="n">
        <v>45168</v>
      </c>
      <c r="E169" s="1" t="n">
        <v>46222</v>
      </c>
      <c r="F169" t="inlineStr">
        <is>
          <t>BLEKINGE LÄN</t>
        </is>
      </c>
      <c r="G169" t="inlineStr">
        <is>
          <t>OLOFSTRÖM</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54043-2025</t>
        </is>
      </c>
      <c r="B170" t="inlineStr">
        <is>
          <t>avverkningsanmälan</t>
        </is>
      </c>
      <c r="C170" t="inlineStr">
        <is>
          <t>Föryngringsavverkning</t>
        </is>
      </c>
      <c r="D170" s="1" t="n">
        <v>45963</v>
      </c>
      <c r="E170" s="1" t="n">
        <v>46222</v>
      </c>
      <c r="F170" t="inlineStr">
        <is>
          <t>BLEKINGE LÄN</t>
        </is>
      </c>
      <c r="G170" t="inlineStr">
        <is>
          <t>OLOFSTRÖM</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40284-2023</t>
        </is>
      </c>
      <c r="B171" t="inlineStr">
        <is>
          <t>avverkningsanmälan</t>
        </is>
      </c>
      <c r="C171" t="inlineStr">
        <is>
          <t>Föryngringsavverkning</t>
        </is>
      </c>
      <c r="D171" s="1" t="n">
        <v>45169</v>
      </c>
      <c r="E171" s="1" t="n">
        <v>46222</v>
      </c>
      <c r="F171" t="inlineStr">
        <is>
          <t>BLEKINGE LÄN</t>
        </is>
      </c>
      <c r="G171" t="inlineStr">
        <is>
          <t>OLOFSTRÖM</t>
        </is>
      </c>
      <c r="I171" t="n">
        <v>5.2</v>
      </c>
      <c r="J171" t="n">
        <v>0</v>
      </c>
      <c r="K171" t="n">
        <v>0</v>
      </c>
      <c r="L171" t="n">
        <v>0</v>
      </c>
      <c r="M171" t="n">
        <v>0</v>
      </c>
      <c r="N171" t="n">
        <v>0</v>
      </c>
      <c r="O171" t="n">
        <v>0</v>
      </c>
      <c r="P171" t="n">
        <v>0</v>
      </c>
      <c r="Q171" t="n">
        <v>0</v>
      </c>
      <c r="R171" t="n">
        <v>0</v>
      </c>
      <c r="S171" t="n">
        <v>0</v>
      </c>
      <c r="T171" t="n">
        <v>0</v>
      </c>
      <c r="U171" s="2" t="inlineStr"/>
    </row>
    <row r="172" ht="15" customHeight="1">
      <c r="A172" t="inlineStr">
        <is>
          <t>A 15348-2025</t>
        </is>
      </c>
      <c r="B172" t="inlineStr">
        <is>
          <t>avverkningsanmälan</t>
        </is>
      </c>
      <c r="C172" t="inlineStr">
        <is>
          <t>Föryngringsavverkning</t>
        </is>
      </c>
      <c r="D172" s="1" t="n">
        <v>45747</v>
      </c>
      <c r="E172" s="1" t="n">
        <v>46222</v>
      </c>
      <c r="F172" t="inlineStr">
        <is>
          <t>BLEKINGE LÄN</t>
        </is>
      </c>
      <c r="G172" t="inlineStr">
        <is>
          <t>OLOFSTRÖM</t>
        </is>
      </c>
      <c r="I172" t="n">
        <v>7.9</v>
      </c>
      <c r="J172" t="n">
        <v>0</v>
      </c>
      <c r="K172" t="n">
        <v>0</v>
      </c>
      <c r="L172" t="n">
        <v>0</v>
      </c>
      <c r="M172" t="n">
        <v>0</v>
      </c>
      <c r="N172" t="n">
        <v>0</v>
      </c>
      <c r="O172" t="n">
        <v>0</v>
      </c>
      <c r="P172" t="n">
        <v>0</v>
      </c>
      <c r="Q172" t="n">
        <v>0</v>
      </c>
      <c r="R172" t="n">
        <v>0</v>
      </c>
      <c r="S172" t="n">
        <v>0</v>
      </c>
      <c r="T172" t="n">
        <v>0</v>
      </c>
      <c r="U172" s="2" t="inlineStr"/>
    </row>
    <row r="173" ht="15" customHeight="1">
      <c r="A173" t="inlineStr">
        <is>
          <t>A 15354-2025</t>
        </is>
      </c>
      <c r="B173" t="inlineStr">
        <is>
          <t>avverkningsanmälan</t>
        </is>
      </c>
      <c r="C173" t="inlineStr">
        <is>
          <t>Föryngringsavverkning</t>
        </is>
      </c>
      <c r="D173" s="1" t="n">
        <v>45747</v>
      </c>
      <c r="E173" s="1" t="n">
        <v>46222</v>
      </c>
      <c r="F173" t="inlineStr">
        <is>
          <t>BLEKINGE LÄN</t>
        </is>
      </c>
      <c r="G173" t="inlineStr">
        <is>
          <t>OLOFSTRÖM</t>
        </is>
      </c>
      <c r="I173" t="n">
        <v>4.4</v>
      </c>
      <c r="J173" t="n">
        <v>0</v>
      </c>
      <c r="K173" t="n">
        <v>0</v>
      </c>
      <c r="L173" t="n">
        <v>0</v>
      </c>
      <c r="M173" t="n">
        <v>0</v>
      </c>
      <c r="N173" t="n">
        <v>0</v>
      </c>
      <c r="O173" t="n">
        <v>0</v>
      </c>
      <c r="P173" t="n">
        <v>0</v>
      </c>
      <c r="Q173" t="n">
        <v>0</v>
      </c>
      <c r="R173" t="n">
        <v>0</v>
      </c>
      <c r="S173" t="n">
        <v>0</v>
      </c>
      <c r="T173" t="n">
        <v>0</v>
      </c>
      <c r="U173" s="2" t="inlineStr"/>
    </row>
    <row r="174" ht="15" customHeight="1">
      <c r="A174" t="inlineStr">
        <is>
          <t>A 8043-2025</t>
        </is>
      </c>
      <c r="B174" t="inlineStr">
        <is>
          <t>avverkningsanmälan</t>
        </is>
      </c>
      <c r="C174" t="inlineStr">
        <is>
          <t>Föryngringsavverkning</t>
        </is>
      </c>
      <c r="D174" s="1" t="n">
        <v>45707</v>
      </c>
      <c r="E174" s="1" t="n">
        <v>46222</v>
      </c>
      <c r="F174" t="inlineStr">
        <is>
          <t>BLEKINGE LÄN</t>
        </is>
      </c>
      <c r="G174" t="inlineStr">
        <is>
          <t>OLOFSTRÖM</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54492-2025</t>
        </is>
      </c>
      <c r="B175" t="inlineStr">
        <is>
          <t>avverkningsanmälan</t>
        </is>
      </c>
      <c r="C175" t="inlineStr">
        <is>
          <t>Föryngringsavverkning</t>
        </is>
      </c>
      <c r="D175" s="1" t="n">
        <v>45965</v>
      </c>
      <c r="E175" s="1" t="n">
        <v>46222</v>
      </c>
      <c r="F175" t="inlineStr">
        <is>
          <t>BLEKINGE LÄN</t>
        </is>
      </c>
      <c r="G175" t="inlineStr">
        <is>
          <t>OLOFSTRÖM</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46361-2023</t>
        </is>
      </c>
      <c r="B176" t="inlineStr">
        <is>
          <t>avverkningsanmälan</t>
        </is>
      </c>
      <c r="C176" t="inlineStr">
        <is>
          <t>Föryngringsavverkning</t>
        </is>
      </c>
      <c r="D176" s="1" t="n">
        <v>45197</v>
      </c>
      <c r="E176" s="1" t="n">
        <v>46222</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s="2" t="inlineStr"/>
    </row>
    <row r="177" ht="15" customHeight="1">
      <c r="A177" t="inlineStr">
        <is>
          <t>A 14659-2025</t>
        </is>
      </c>
      <c r="B177" t="inlineStr">
        <is>
          <t>avverkningsanmälan</t>
        </is>
      </c>
      <c r="C177" t="inlineStr">
        <is>
          <t>Föryngringsavverkning</t>
        </is>
      </c>
      <c r="D177" s="1" t="n">
        <v>45742</v>
      </c>
      <c r="E177" s="1" t="n">
        <v>46222</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55074-2025</t>
        </is>
      </c>
      <c r="B178" t="inlineStr">
        <is>
          <t>avverkningsanmälan</t>
        </is>
      </c>
      <c r="C178" t="inlineStr">
        <is>
          <t>Föryngringsavverkning</t>
        </is>
      </c>
      <c r="D178" s="1" t="n">
        <v>45967</v>
      </c>
      <c r="E178" s="1" t="n">
        <v>46222</v>
      </c>
      <c r="F178" t="inlineStr">
        <is>
          <t>BLEKINGE LÄN</t>
        </is>
      </c>
      <c r="G178" t="inlineStr">
        <is>
          <t>OLOFSTRÖM</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10701-2026</t>
        </is>
      </c>
      <c r="B179" t="inlineStr">
        <is>
          <t>avverkningsanmälan</t>
        </is>
      </c>
      <c r="C179" t="inlineStr">
        <is>
          <t>Föryngringsavverkning</t>
        </is>
      </c>
      <c r="D179" s="1" t="n">
        <v>46078</v>
      </c>
      <c r="E179" s="1" t="n">
        <v>46222</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53418-2022</t>
        </is>
      </c>
      <c r="B180" t="inlineStr">
        <is>
          <t>avverkningsanmälan</t>
        </is>
      </c>
      <c r="C180" t="inlineStr">
        <is>
          <t>Föryngringsavverkning</t>
        </is>
      </c>
      <c r="D180" s="1" t="n">
        <v>44879</v>
      </c>
      <c r="E180" s="1" t="n">
        <v>46222</v>
      </c>
      <c r="F180" t="inlineStr">
        <is>
          <t>BLEKINGE LÄN</t>
        </is>
      </c>
      <c r="G180" t="inlineStr">
        <is>
          <t>OLOFSTRÖM</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22717-2023</t>
        </is>
      </c>
      <c r="B181" t="inlineStr">
        <is>
          <t>avverkningsanmälan</t>
        </is>
      </c>
      <c r="C181" t="inlineStr">
        <is>
          <t>Föryngringsavverkning</t>
        </is>
      </c>
      <c r="D181" s="1" t="n">
        <v>45071</v>
      </c>
      <c r="E181" s="1" t="n">
        <v>46222</v>
      </c>
      <c r="F181" t="inlineStr">
        <is>
          <t>BLEKINGE LÄN</t>
        </is>
      </c>
      <c r="G181" t="inlineStr">
        <is>
          <t>OLOFSTRÖM</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57675-2023</t>
        </is>
      </c>
      <c r="B182" t="inlineStr">
        <is>
          <t>avverkningsanmälan</t>
        </is>
      </c>
      <c r="C182" t="inlineStr">
        <is>
          <t>Föryngringsavverkning</t>
        </is>
      </c>
      <c r="D182" s="1" t="n">
        <v>45246</v>
      </c>
      <c r="E182" s="1" t="n">
        <v>46222</v>
      </c>
      <c r="F182" t="inlineStr">
        <is>
          <t>BLEKINGE LÄN</t>
        </is>
      </c>
      <c r="G182" t="inlineStr">
        <is>
          <t>OLOFSTRÖM</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56678-2025</t>
        </is>
      </c>
      <c r="B183" t="inlineStr">
        <is>
          <t>avverkningsanmälan</t>
        </is>
      </c>
      <c r="C183" t="inlineStr">
        <is>
          <t>Föryngringsavverkning</t>
        </is>
      </c>
      <c r="D183" s="1" t="n">
        <v>45975</v>
      </c>
      <c r="E183" s="1" t="n">
        <v>46222</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42635-2024</t>
        </is>
      </c>
      <c r="B184" t="inlineStr">
        <is>
          <t>avverkningsanmälan</t>
        </is>
      </c>
      <c r="C184" t="inlineStr">
        <is>
          <t>Föryngringsavverkning</t>
        </is>
      </c>
      <c r="D184" s="1" t="n">
        <v>45565</v>
      </c>
      <c r="E184" s="1" t="n">
        <v>46222</v>
      </c>
      <c r="F184" t="inlineStr">
        <is>
          <t>BLEKINGE LÄN</t>
        </is>
      </c>
      <c r="G184" t="inlineStr">
        <is>
          <t>OLOFSTRÖM</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11375-2026</t>
        </is>
      </c>
      <c r="B185" t="inlineStr">
        <is>
          <t>avverkningsanmälan</t>
        </is>
      </c>
      <c r="C185" t="inlineStr">
        <is>
          <t>Föryngringsavverkning</t>
        </is>
      </c>
      <c r="D185" s="1" t="n">
        <v>46083</v>
      </c>
      <c r="E185" s="1" t="n">
        <v>46222</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11141-2025</t>
        </is>
      </c>
      <c r="B186" t="inlineStr">
        <is>
          <t>avverkningsanmälan</t>
        </is>
      </c>
      <c r="C186" t="inlineStr">
        <is>
          <t>Föryngringsavverkning</t>
        </is>
      </c>
      <c r="D186" s="1" t="n">
        <v>45723</v>
      </c>
      <c r="E186" s="1" t="n">
        <v>46222</v>
      </c>
      <c r="F186" t="inlineStr">
        <is>
          <t>BLEKINGE LÄN</t>
        </is>
      </c>
      <c r="G186" t="inlineStr">
        <is>
          <t>OLOFSTRÖM</t>
        </is>
      </c>
      <c r="I186" t="n">
        <v>0.1</v>
      </c>
      <c r="J186" t="n">
        <v>0</v>
      </c>
      <c r="K186" t="n">
        <v>0</v>
      </c>
      <c r="L186" t="n">
        <v>0</v>
      </c>
      <c r="M186" t="n">
        <v>0</v>
      </c>
      <c r="N186" t="n">
        <v>0</v>
      </c>
      <c r="O186" t="n">
        <v>0</v>
      </c>
      <c r="P186" t="n">
        <v>0</v>
      </c>
      <c r="Q186" t="n">
        <v>0</v>
      </c>
      <c r="R186" t="n">
        <v>0</v>
      </c>
      <c r="S186" t="n">
        <v>0</v>
      </c>
      <c r="T186" t="n">
        <v>0</v>
      </c>
      <c r="U186" s="2" t="inlineStr"/>
    </row>
    <row r="187" ht="15" customHeight="1">
      <c r="A187" t="inlineStr">
        <is>
          <t>A 59248-2025</t>
        </is>
      </c>
      <c r="B187" t="inlineStr">
        <is>
          <t>avverkningsanmälan</t>
        </is>
      </c>
      <c r="C187" t="inlineStr">
        <is>
          <t>Föryngringsavverkning</t>
        </is>
      </c>
      <c r="D187" s="1" t="n">
        <v>45988</v>
      </c>
      <c r="E187" s="1" t="n">
        <v>46222</v>
      </c>
      <c r="F187" t="inlineStr">
        <is>
          <t>BLEKINGE LÄN</t>
        </is>
      </c>
      <c r="G187" t="inlineStr">
        <is>
          <t>OLOFSTRÖM</t>
        </is>
      </c>
      <c r="I187" t="n">
        <v>3.1</v>
      </c>
      <c r="J187" t="n">
        <v>0</v>
      </c>
      <c r="K187" t="n">
        <v>0</v>
      </c>
      <c r="L187" t="n">
        <v>0</v>
      </c>
      <c r="M187" t="n">
        <v>0</v>
      </c>
      <c r="N187" t="n">
        <v>0</v>
      </c>
      <c r="O187" t="n">
        <v>0</v>
      </c>
      <c r="P187" t="n">
        <v>0</v>
      </c>
      <c r="Q187" t="n">
        <v>0</v>
      </c>
      <c r="R187" t="n">
        <v>0</v>
      </c>
      <c r="S187" t="n">
        <v>0</v>
      </c>
      <c r="T187" t="n">
        <v>0</v>
      </c>
      <c r="U187" s="2" t="inlineStr"/>
    </row>
    <row r="188" ht="15" customHeight="1">
      <c r="A188" t="inlineStr">
        <is>
          <t>A 6421-2024</t>
        </is>
      </c>
      <c r="B188" t="inlineStr">
        <is>
          <t>avverkningsanmälan</t>
        </is>
      </c>
      <c r="C188" t="inlineStr">
        <is>
          <t>Föryngringsavverkning</t>
        </is>
      </c>
      <c r="D188" s="1" t="n">
        <v>45338</v>
      </c>
      <c r="E188" s="1" t="n">
        <v>46222</v>
      </c>
      <c r="F188" t="inlineStr">
        <is>
          <t>BLEKINGE LÄN</t>
        </is>
      </c>
      <c r="G188" t="inlineStr">
        <is>
          <t>OLOFSTRÖM</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54513-2021</t>
        </is>
      </c>
      <c r="B189" t="inlineStr">
        <is>
          <t>avverkningsanmälan</t>
        </is>
      </c>
      <c r="C189" t="inlineStr">
        <is>
          <t>Föryngringsavverkning</t>
        </is>
      </c>
      <c r="D189" s="1" t="n">
        <v>44473</v>
      </c>
      <c r="E189" s="1" t="n">
        <v>46222</v>
      </c>
      <c r="F189" t="inlineStr">
        <is>
          <t>BLEKINGE LÄN</t>
        </is>
      </c>
      <c r="G189" t="inlineStr">
        <is>
          <t>OLOFSTRÖM</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59249-2025</t>
        </is>
      </c>
      <c r="B190" t="inlineStr">
        <is>
          <t>avverkningsanmälan</t>
        </is>
      </c>
      <c r="C190" t="inlineStr">
        <is>
          <t>Föryngringsavverkning</t>
        </is>
      </c>
      <c r="D190" s="1" t="n">
        <v>45988</v>
      </c>
      <c r="E190" s="1" t="n">
        <v>46222</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25908-2023</t>
        </is>
      </c>
      <c r="B191" t="inlineStr">
        <is>
          <t>avverkningsanmälan</t>
        </is>
      </c>
      <c r="C191" t="inlineStr">
        <is>
          <t>Föryngringsavverkning</t>
        </is>
      </c>
      <c r="D191" s="1" t="n">
        <v>45090</v>
      </c>
      <c r="E191" s="1" t="n">
        <v>46222</v>
      </c>
      <c r="F191" t="inlineStr">
        <is>
          <t>BLEKINGE LÄN</t>
        </is>
      </c>
      <c r="G191" t="inlineStr">
        <is>
          <t>OLOFSTRÖM</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48933-2024</t>
        </is>
      </c>
      <c r="B192" t="inlineStr">
        <is>
          <t>avverkningsanmälan</t>
        </is>
      </c>
      <c r="C192" t="inlineStr">
        <is>
          <t>Föryngringsavverkning</t>
        </is>
      </c>
      <c r="D192" s="1" t="n">
        <v>45594</v>
      </c>
      <c r="E192" s="1" t="n">
        <v>46222</v>
      </c>
      <c r="F192" t="inlineStr">
        <is>
          <t>BLEKINGE LÄN</t>
        </is>
      </c>
      <c r="G192" t="inlineStr">
        <is>
          <t>OLOFSTRÖM</t>
        </is>
      </c>
      <c r="I192" t="n">
        <v>8.300000000000001</v>
      </c>
      <c r="J192" t="n">
        <v>0</v>
      </c>
      <c r="K192" t="n">
        <v>0</v>
      </c>
      <c r="L192" t="n">
        <v>0</v>
      </c>
      <c r="M192" t="n">
        <v>0</v>
      </c>
      <c r="N192" t="n">
        <v>0</v>
      </c>
      <c r="O192" t="n">
        <v>0</v>
      </c>
      <c r="P192" t="n">
        <v>0</v>
      </c>
      <c r="Q192" t="n">
        <v>0</v>
      </c>
      <c r="R192" t="n">
        <v>0</v>
      </c>
      <c r="S192" t="n">
        <v>0</v>
      </c>
      <c r="T192" t="n">
        <v>0</v>
      </c>
      <c r="U192" s="2" t="inlineStr"/>
    </row>
    <row r="193" ht="15" customHeight="1">
      <c r="A193" t="inlineStr">
        <is>
          <t>A 53459-2021</t>
        </is>
      </c>
      <c r="B193" t="inlineStr">
        <is>
          <t>avverkningsanmälan</t>
        </is>
      </c>
      <c r="C193" t="inlineStr">
        <is>
          <t>Föryngringsavverkning</t>
        </is>
      </c>
      <c r="D193" s="1" t="n">
        <v>44468</v>
      </c>
      <c r="E193" s="1" t="n">
        <v>46222</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6681-2025</t>
        </is>
      </c>
      <c r="B194" t="inlineStr">
        <is>
          <t>avverkningsanmälan</t>
        </is>
      </c>
      <c r="C194" t="inlineStr">
        <is>
          <t>Föryngringsavverkning</t>
        </is>
      </c>
      <c r="D194" s="1" t="n">
        <v>45700</v>
      </c>
      <c r="E194" s="1" t="n">
        <v>46222</v>
      </c>
      <c r="F194" t="inlineStr">
        <is>
          <t>BLEKINGE LÄN</t>
        </is>
      </c>
      <c r="G194" t="inlineStr">
        <is>
          <t>OLOFSTRÖM</t>
        </is>
      </c>
      <c r="I194" t="n">
        <v>3.5</v>
      </c>
      <c r="J194" t="n">
        <v>0</v>
      </c>
      <c r="K194" t="n">
        <v>0</v>
      </c>
      <c r="L194" t="n">
        <v>0</v>
      </c>
      <c r="M194" t="n">
        <v>0</v>
      </c>
      <c r="N194" t="n">
        <v>0</v>
      </c>
      <c r="O194" t="n">
        <v>0</v>
      </c>
      <c r="P194" t="n">
        <v>0</v>
      </c>
      <c r="Q194" t="n">
        <v>0</v>
      </c>
      <c r="R194" t="n">
        <v>0</v>
      </c>
      <c r="S194" t="n">
        <v>0</v>
      </c>
      <c r="T194" t="n">
        <v>0</v>
      </c>
      <c r="U194" s="2" t="inlineStr"/>
    </row>
    <row r="195" ht="15" customHeight="1">
      <c r="A195" t="inlineStr">
        <is>
          <t>A 13758-2026</t>
        </is>
      </c>
      <c r="B195" t="inlineStr">
        <is>
          <t>avverkningsanmälan</t>
        </is>
      </c>
      <c r="C195" t="inlineStr">
        <is>
          <t>Föryngringsavverkning</t>
        </is>
      </c>
      <c r="D195" s="1" t="n">
        <v>46097</v>
      </c>
      <c r="E195" s="1" t="n">
        <v>46222</v>
      </c>
      <c r="F195" t="inlineStr">
        <is>
          <t>BLEKINGE LÄN</t>
        </is>
      </c>
      <c r="G195" t="inlineStr">
        <is>
          <t>OLOFSTRÖM</t>
        </is>
      </c>
      <c r="H195" t="inlineStr">
        <is>
          <t>Övriga Aktiebolag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61802-2023</t>
        </is>
      </c>
      <c r="B196" t="inlineStr">
        <is>
          <t>avverkningsanmälan</t>
        </is>
      </c>
      <c r="C196" t="inlineStr">
        <is>
          <t>Föryngringsavverkning</t>
        </is>
      </c>
      <c r="D196" s="1" t="n">
        <v>45265</v>
      </c>
      <c r="E196" s="1" t="n">
        <v>46222</v>
      </c>
      <c r="F196" t="inlineStr">
        <is>
          <t>BLEKINGE LÄN</t>
        </is>
      </c>
      <c r="G196" t="inlineStr">
        <is>
          <t>OLOFSTRÖM</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30657-2023</t>
        </is>
      </c>
      <c r="B197" t="inlineStr">
        <is>
          <t>avverkningsanmälan</t>
        </is>
      </c>
      <c r="C197" t="inlineStr">
        <is>
          <t>Föryngringsavverkning</t>
        </is>
      </c>
      <c r="D197" s="1" t="n">
        <v>45112</v>
      </c>
      <c r="E197" s="1" t="n">
        <v>46222</v>
      </c>
      <c r="F197" t="inlineStr">
        <is>
          <t>BLEKINGE LÄN</t>
        </is>
      </c>
      <c r="G197" t="inlineStr">
        <is>
          <t>OLOFSTRÖM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32008-2023</t>
        </is>
      </c>
      <c r="B198" t="inlineStr">
        <is>
          <t>avverkningsanmälan</t>
        </is>
      </c>
      <c r="C198" t="inlineStr">
        <is>
          <t>Föryngringsavverkning</t>
        </is>
      </c>
      <c r="D198" s="1" t="n">
        <v>45107</v>
      </c>
      <c r="E198" s="1" t="n">
        <v>46222</v>
      </c>
      <c r="F198" t="inlineStr">
        <is>
          <t>BLEKINGE LÄN</t>
        </is>
      </c>
      <c r="G198" t="inlineStr">
        <is>
          <t>OLOFSTRÖM</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56010-2022</t>
        </is>
      </c>
      <c r="B199" t="inlineStr">
        <is>
          <t>avverkningsanmälan</t>
        </is>
      </c>
      <c r="C199" t="inlineStr">
        <is>
          <t>Föryngringsavverkning</t>
        </is>
      </c>
      <c r="D199" s="1" t="n">
        <v>44889</v>
      </c>
      <c r="E199" s="1" t="n">
        <v>46222</v>
      </c>
      <c r="F199" t="inlineStr">
        <is>
          <t>BLEKINGE LÄN</t>
        </is>
      </c>
      <c r="G199" t="inlineStr">
        <is>
          <t>OLOFSTRÖM</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14311-2023</t>
        </is>
      </c>
      <c r="B200" t="inlineStr">
        <is>
          <t>avverkningsanmälan</t>
        </is>
      </c>
      <c r="C200" t="inlineStr">
        <is>
          <t>Föryngringsavverkning</t>
        </is>
      </c>
      <c r="D200" s="1" t="n">
        <v>45011</v>
      </c>
      <c r="E200" s="1" t="n">
        <v>46222</v>
      </c>
      <c r="F200" t="inlineStr">
        <is>
          <t>BLEKINGE LÄN</t>
        </is>
      </c>
      <c r="G200" t="inlineStr">
        <is>
          <t>OLOFSTRÖM</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63560-2025</t>
        </is>
      </c>
      <c r="B201" t="inlineStr">
        <is>
          <t>avverkningsanmälan</t>
        </is>
      </c>
      <c r="C201" t="inlineStr">
        <is>
          <t>Föryngringsavverkning</t>
        </is>
      </c>
      <c r="D201" s="1" t="n">
        <v>46013</v>
      </c>
      <c r="E201" s="1" t="n">
        <v>46222</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14904-2026</t>
        </is>
      </c>
      <c r="B202" t="inlineStr">
        <is>
          <t>avverkningsanmälan</t>
        </is>
      </c>
      <c r="C202" t="inlineStr">
        <is>
          <t>Föryngringsavverkning</t>
        </is>
      </c>
      <c r="D202" s="1" t="n">
        <v>46104</v>
      </c>
      <c r="E202" s="1" t="n">
        <v>46222</v>
      </c>
      <c r="F202" t="inlineStr">
        <is>
          <t>BLEKINGE LÄN</t>
        </is>
      </c>
      <c r="G202" t="inlineStr">
        <is>
          <t>OLOFSTRÖM</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13083-2024</t>
        </is>
      </c>
      <c r="B203" t="inlineStr">
        <is>
          <t>avverkningsanmälan</t>
        </is>
      </c>
      <c r="C203" t="inlineStr">
        <is>
          <t>Föryngringsavverkning</t>
        </is>
      </c>
      <c r="D203" s="1" t="n">
        <v>45385</v>
      </c>
      <c r="E203" s="1" t="n">
        <v>46222</v>
      </c>
      <c r="F203" t="inlineStr">
        <is>
          <t>BLEKINGE LÄN</t>
        </is>
      </c>
      <c r="G203" t="inlineStr">
        <is>
          <t>OLOFSTRÖM</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247-2026</t>
        </is>
      </c>
      <c r="B204" t="inlineStr">
        <is>
          <t>avverkningsanmälan</t>
        </is>
      </c>
      <c r="C204" t="inlineStr">
        <is>
          <t>Föryngringsavverkning</t>
        </is>
      </c>
      <c r="D204" s="1" t="n">
        <v>46027</v>
      </c>
      <c r="E204" s="1" t="n">
        <v>46222</v>
      </c>
      <c r="F204" t="inlineStr">
        <is>
          <t>BLEKINGE LÄN</t>
        </is>
      </c>
      <c r="G204" t="inlineStr">
        <is>
          <t>OLOFSTRÖM</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248-2026</t>
        </is>
      </c>
      <c r="B205" t="inlineStr">
        <is>
          <t>avverkningsanmälan</t>
        </is>
      </c>
      <c r="C205" t="inlineStr">
        <is>
          <t>Föryngringsavverkning</t>
        </is>
      </c>
      <c r="D205" s="1" t="n">
        <v>46027</v>
      </c>
      <c r="E205" s="1" t="n">
        <v>46222</v>
      </c>
      <c r="F205" t="inlineStr">
        <is>
          <t>BLEKINGE LÄN</t>
        </is>
      </c>
      <c r="G205" t="inlineStr">
        <is>
          <t>OLOFSTRÖM</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56107-2023</t>
        </is>
      </c>
      <c r="B206" t="inlineStr">
        <is>
          <t>avverkningsanmälan</t>
        </is>
      </c>
      <c r="C206" t="inlineStr">
        <is>
          <t>Föryngringsavverkning</t>
        </is>
      </c>
      <c r="D206" s="1" t="n">
        <v>45233</v>
      </c>
      <c r="E206" s="1" t="n">
        <v>46222</v>
      </c>
      <c r="F206" t="inlineStr">
        <is>
          <t>BLEKINGE LÄN</t>
        </is>
      </c>
      <c r="G206" t="inlineStr">
        <is>
          <t>OLOFSTRÖM</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242-2026</t>
        </is>
      </c>
      <c r="B207" t="inlineStr">
        <is>
          <t>avverkningsanmälan</t>
        </is>
      </c>
      <c r="C207" t="inlineStr">
        <is>
          <t>Föryngringsavverkning</t>
        </is>
      </c>
      <c r="D207" s="1" t="n">
        <v>46027</v>
      </c>
      <c r="E207" s="1" t="n">
        <v>46222</v>
      </c>
      <c r="F207" t="inlineStr">
        <is>
          <t>BLEKINGE LÄN</t>
        </is>
      </c>
      <c r="G207" t="inlineStr">
        <is>
          <t>OLOFSTRÖM</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65026-2023</t>
        </is>
      </c>
      <c r="B208" t="inlineStr">
        <is>
          <t>avverkningsanmälan</t>
        </is>
      </c>
      <c r="C208" t="inlineStr">
        <is>
          <t>Föryngringsavverkning</t>
        </is>
      </c>
      <c r="D208" s="1" t="n">
        <v>45282</v>
      </c>
      <c r="E208" s="1" t="n">
        <v>46222</v>
      </c>
      <c r="F208" t="inlineStr">
        <is>
          <t>BLEKINGE LÄN</t>
        </is>
      </c>
      <c r="G208" t="inlineStr">
        <is>
          <t>OLOFSTRÖM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47264-2023</t>
        </is>
      </c>
      <c r="B209" t="inlineStr">
        <is>
          <t>avverkningsanmälan</t>
        </is>
      </c>
      <c r="C209" t="inlineStr">
        <is>
          <t>Föryngringsavverkning</t>
        </is>
      </c>
      <c r="D209" s="1" t="n">
        <v>45197</v>
      </c>
      <c r="E209" s="1" t="n">
        <v>46222</v>
      </c>
      <c r="F209" t="inlineStr">
        <is>
          <t>BLEKINGE LÄN</t>
        </is>
      </c>
      <c r="G209" t="inlineStr">
        <is>
          <t>OLOFSTRÖM</t>
        </is>
      </c>
      <c r="I209" t="n">
        <v>6</v>
      </c>
      <c r="J209" t="n">
        <v>0</v>
      </c>
      <c r="K209" t="n">
        <v>0</v>
      </c>
      <c r="L209" t="n">
        <v>0</v>
      </c>
      <c r="M209" t="n">
        <v>0</v>
      </c>
      <c r="N209" t="n">
        <v>0</v>
      </c>
      <c r="O209" t="n">
        <v>0</v>
      </c>
      <c r="P209" t="n">
        <v>0</v>
      </c>
      <c r="Q209" t="n">
        <v>0</v>
      </c>
      <c r="R209" t="n">
        <v>0</v>
      </c>
      <c r="S209" t="n">
        <v>0</v>
      </c>
      <c r="T209" t="n">
        <v>0</v>
      </c>
      <c r="U209" s="2" t="inlineStr"/>
    </row>
    <row r="210" ht="15" customHeight="1">
      <c r="A210" t="inlineStr">
        <is>
          <t>A 15688-2026</t>
        </is>
      </c>
      <c r="B210" t="inlineStr">
        <is>
          <t>avverkningsanmälan</t>
        </is>
      </c>
      <c r="C210" t="inlineStr">
        <is>
          <t>Föryngringsavverkning</t>
        </is>
      </c>
      <c r="D210" s="1" t="n">
        <v>46106</v>
      </c>
      <c r="E210" s="1" t="n">
        <v>46222</v>
      </c>
      <c r="F210" t="inlineStr">
        <is>
          <t>BLEKINGE LÄN</t>
        </is>
      </c>
      <c r="G210" t="inlineStr">
        <is>
          <t>OLOFSTRÖM</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1356-2026</t>
        </is>
      </c>
      <c r="B211" t="inlineStr">
        <is>
          <t>avverkningsanmälan</t>
        </is>
      </c>
      <c r="C211" t="inlineStr">
        <is>
          <t>Föryngringsavverkning</t>
        </is>
      </c>
      <c r="D211" s="1" t="n">
        <v>46031</v>
      </c>
      <c r="E211" s="1" t="n">
        <v>46222</v>
      </c>
      <c r="F211" t="inlineStr">
        <is>
          <t>BLEKINGE LÄN</t>
        </is>
      </c>
      <c r="G211" t="inlineStr">
        <is>
          <t>OLOFSTRÖM</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9288-2026</t>
        </is>
      </c>
      <c r="B212" t="inlineStr">
        <is>
          <t>avverkningsanmälan</t>
        </is>
      </c>
      <c r="C212" t="inlineStr">
        <is>
          <t>Föryngringsavverkning</t>
        </is>
      </c>
      <c r="D212" s="1" t="n">
        <v>46070</v>
      </c>
      <c r="E212" s="1" t="n">
        <v>46222</v>
      </c>
      <c r="F212" t="inlineStr">
        <is>
          <t>BLEKINGE LÄN</t>
        </is>
      </c>
      <c r="G212" t="inlineStr">
        <is>
          <t>OLOFSTRÖM</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46584-2024</t>
        </is>
      </c>
      <c r="B213" t="inlineStr">
        <is>
          <t>avverkningsanmälan</t>
        </is>
      </c>
      <c r="C213" t="inlineStr">
        <is>
          <t>Föryngringsavverkning</t>
        </is>
      </c>
      <c r="D213" s="1" t="n">
        <v>45582</v>
      </c>
      <c r="E213" s="1" t="n">
        <v>46222</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49309-2022</t>
        </is>
      </c>
      <c r="B214" t="inlineStr">
        <is>
          <t>avverkningsanmälan</t>
        </is>
      </c>
      <c r="C214" t="inlineStr">
        <is>
          <t>Föryngringsavverkning</t>
        </is>
      </c>
      <c r="D214" s="1" t="n">
        <v>44858</v>
      </c>
      <c r="E214" s="1" t="n">
        <v>46222</v>
      </c>
      <c r="F214" t="inlineStr">
        <is>
          <t>BLEKINGE LÄN</t>
        </is>
      </c>
      <c r="G214" t="inlineStr">
        <is>
          <t>OLOFSTRÖM</t>
        </is>
      </c>
      <c r="I214" t="n">
        <v>20.5</v>
      </c>
      <c r="J214" t="n">
        <v>0</v>
      </c>
      <c r="K214" t="n">
        <v>0</v>
      </c>
      <c r="L214" t="n">
        <v>0</v>
      </c>
      <c r="M214" t="n">
        <v>0</v>
      </c>
      <c r="N214" t="n">
        <v>0</v>
      </c>
      <c r="O214" t="n">
        <v>0</v>
      </c>
      <c r="P214" t="n">
        <v>0</v>
      </c>
      <c r="Q214" t="n">
        <v>0</v>
      </c>
      <c r="R214" t="n">
        <v>0</v>
      </c>
      <c r="S214" t="n">
        <v>0</v>
      </c>
      <c r="T214" t="n">
        <v>0</v>
      </c>
      <c r="U214" s="2" t="inlineStr"/>
    </row>
    <row r="215" ht="15" customHeight="1">
      <c r="A215" t="inlineStr">
        <is>
          <t>A 45230-2024</t>
        </is>
      </c>
      <c r="B215" t="inlineStr">
        <is>
          <t>avverkningsanmälan</t>
        </is>
      </c>
      <c r="C215" t="inlineStr">
        <is>
          <t>Föryngringsavverkning</t>
        </is>
      </c>
      <c r="D215" s="1" t="n">
        <v>45575</v>
      </c>
      <c r="E215" s="1" t="n">
        <v>46222</v>
      </c>
      <c r="F215" t="inlineStr">
        <is>
          <t>BLEKINGE LÄN</t>
        </is>
      </c>
      <c r="G215" t="inlineStr">
        <is>
          <t>OLOFSTRÖM</t>
        </is>
      </c>
      <c r="H215" t="inlineStr">
        <is>
          <t>Sveaskog</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6430-2024</t>
        </is>
      </c>
      <c r="B216" t="inlineStr">
        <is>
          <t>avverkningsanmälan</t>
        </is>
      </c>
      <c r="C216" t="inlineStr">
        <is>
          <t>Föryngringsavverkning</t>
        </is>
      </c>
      <c r="D216" s="1" t="n">
        <v>45338</v>
      </c>
      <c r="E216" s="1" t="n">
        <v>46222</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6439-2024</t>
        </is>
      </c>
      <c r="B217" t="inlineStr">
        <is>
          <t>avverkningsanmälan</t>
        </is>
      </c>
      <c r="C217" t="inlineStr">
        <is>
          <t>Föryngringsavverkning</t>
        </is>
      </c>
      <c r="D217" s="1" t="n">
        <v>45338</v>
      </c>
      <c r="E217" s="1" t="n">
        <v>46222</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6443-2024</t>
        </is>
      </c>
      <c r="B218" t="inlineStr">
        <is>
          <t>avverkningsanmälan</t>
        </is>
      </c>
      <c r="C218" t="inlineStr">
        <is>
          <t>Föryngringsavverkning</t>
        </is>
      </c>
      <c r="D218" s="1" t="n">
        <v>45338</v>
      </c>
      <c r="E218" s="1" t="n">
        <v>46222</v>
      </c>
      <c r="F218" t="inlineStr">
        <is>
          <t>BLEKINGE LÄN</t>
        </is>
      </c>
      <c r="G218" t="inlineStr">
        <is>
          <t>OLOFSTRÖM</t>
        </is>
      </c>
      <c r="I218" t="n">
        <v>5</v>
      </c>
      <c r="J218" t="n">
        <v>0</v>
      </c>
      <c r="K218" t="n">
        <v>0</v>
      </c>
      <c r="L218" t="n">
        <v>0</v>
      </c>
      <c r="M218" t="n">
        <v>0</v>
      </c>
      <c r="N218" t="n">
        <v>0</v>
      </c>
      <c r="O218" t="n">
        <v>0</v>
      </c>
      <c r="P218" t="n">
        <v>0</v>
      </c>
      <c r="Q218" t="n">
        <v>0</v>
      </c>
      <c r="R218" t="n">
        <v>0</v>
      </c>
      <c r="S218" t="n">
        <v>0</v>
      </c>
      <c r="T218" t="n">
        <v>0</v>
      </c>
      <c r="U218" s="2" t="inlineStr"/>
    </row>
    <row r="219" ht="15" customHeight="1">
      <c r="A219" t="inlineStr">
        <is>
          <t>A 17232-2026</t>
        </is>
      </c>
      <c r="B219" t="inlineStr">
        <is>
          <t>avverkningsanmälan</t>
        </is>
      </c>
      <c r="C219" t="inlineStr">
        <is>
          <t>Föryngringsavverkning</t>
        </is>
      </c>
      <c r="D219" s="1" t="n">
        <v>46119</v>
      </c>
      <c r="E219" s="1" t="n">
        <v>46222</v>
      </c>
      <c r="F219" t="inlineStr">
        <is>
          <t>BLEKINGE LÄN</t>
        </is>
      </c>
      <c r="G219" t="inlineStr">
        <is>
          <t>OLOFSTRÖM</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17459-2026</t>
        </is>
      </c>
      <c r="B220" t="inlineStr">
        <is>
          <t>avverkningsanmälan</t>
        </is>
      </c>
      <c r="C220" t="inlineStr">
        <is>
          <t>Föryngringsavverkning</t>
        </is>
      </c>
      <c r="D220" s="1" t="n">
        <v>46120</v>
      </c>
      <c r="E220" s="1" t="n">
        <v>46222</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18046-2026</t>
        </is>
      </c>
      <c r="B221" t="inlineStr">
        <is>
          <t>avverkningsanmälan</t>
        </is>
      </c>
      <c r="C221" t="inlineStr">
        <is>
          <t>Föryngringsavverkning</t>
        </is>
      </c>
      <c r="D221" s="1" t="n">
        <v>46125</v>
      </c>
      <c r="E221" s="1" t="n">
        <v>46222</v>
      </c>
      <c r="F221" t="inlineStr">
        <is>
          <t>BLEKINGE LÄN</t>
        </is>
      </c>
      <c r="G221" t="inlineStr">
        <is>
          <t>OLOFSTRÖM</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10327-2025</t>
        </is>
      </c>
      <c r="B222" t="inlineStr">
        <is>
          <t>avverkningsanmälan</t>
        </is>
      </c>
      <c r="C222" t="inlineStr">
        <is>
          <t>Föryngringsavverkning</t>
        </is>
      </c>
      <c r="D222" s="1" t="n">
        <v>45720</v>
      </c>
      <c r="E222" s="1" t="n">
        <v>46222</v>
      </c>
      <c r="F222" t="inlineStr">
        <is>
          <t>BLEKINGE LÄN</t>
        </is>
      </c>
      <c r="G222" t="inlineStr">
        <is>
          <t>OLOFSTRÖM</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62728-2023</t>
        </is>
      </c>
      <c r="B223" t="inlineStr">
        <is>
          <t>avverkningsanmälan</t>
        </is>
      </c>
      <c r="C223" t="inlineStr">
        <is>
          <t>Föryngringsavverkning</t>
        </is>
      </c>
      <c r="D223" s="1" t="n">
        <v>45268</v>
      </c>
      <c r="E223" s="1" t="n">
        <v>46222</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39077-2024</t>
        </is>
      </c>
      <c r="B224" t="inlineStr">
        <is>
          <t>avverkningsanmälan</t>
        </is>
      </c>
      <c r="C224" t="inlineStr">
        <is>
          <t>Föryngringsavverkning</t>
        </is>
      </c>
      <c r="D224" s="1" t="n">
        <v>45548</v>
      </c>
      <c r="E224" s="1" t="n">
        <v>46222</v>
      </c>
      <c r="F224" t="inlineStr">
        <is>
          <t>BLEKINGE LÄN</t>
        </is>
      </c>
      <c r="G224" t="inlineStr">
        <is>
          <t>OLOFSTRÖM</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27791-2022</t>
        </is>
      </c>
      <c r="B225" t="inlineStr">
        <is>
          <t>avverkningsanmälan</t>
        </is>
      </c>
      <c r="C225" t="inlineStr">
        <is>
          <t>Föryngringsavverkning</t>
        </is>
      </c>
      <c r="D225" s="1" t="n">
        <v>44743</v>
      </c>
      <c r="E225" s="1" t="n">
        <v>46222</v>
      </c>
      <c r="F225" t="inlineStr">
        <is>
          <t>BLEKINGE LÄN</t>
        </is>
      </c>
      <c r="G225" t="inlineStr">
        <is>
          <t>OLOFSTRÖM</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18472-2026</t>
        </is>
      </c>
      <c r="B226" t="inlineStr">
        <is>
          <t>avverkningsanmälan</t>
        </is>
      </c>
      <c r="C226" t="inlineStr">
        <is>
          <t>Föryngringsavverkning</t>
        </is>
      </c>
      <c r="D226" s="1" t="n">
        <v>46127</v>
      </c>
      <c r="E226" s="1" t="n">
        <v>46222</v>
      </c>
      <c r="F226" t="inlineStr">
        <is>
          <t>BLEKINGE LÄN</t>
        </is>
      </c>
      <c r="G226" t="inlineStr">
        <is>
          <t>OLOFSTRÖM</t>
        </is>
      </c>
      <c r="I226" t="n">
        <v>5.9</v>
      </c>
      <c r="J226" t="n">
        <v>0</v>
      </c>
      <c r="K226" t="n">
        <v>0</v>
      </c>
      <c r="L226" t="n">
        <v>0</v>
      </c>
      <c r="M226" t="n">
        <v>0</v>
      </c>
      <c r="N226" t="n">
        <v>0</v>
      </c>
      <c r="O226" t="n">
        <v>0</v>
      </c>
      <c r="P226" t="n">
        <v>0</v>
      </c>
      <c r="Q226" t="n">
        <v>0</v>
      </c>
      <c r="R226" t="n">
        <v>0</v>
      </c>
      <c r="S226" t="n">
        <v>0</v>
      </c>
      <c r="T226" t="n">
        <v>0</v>
      </c>
      <c r="U226" s="2" t="inlineStr"/>
    </row>
    <row r="227" ht="15" customHeight="1">
      <c r="A227" t="inlineStr">
        <is>
          <t>A 15464-2024</t>
        </is>
      </c>
      <c r="B227" t="inlineStr">
        <is>
          <t>avverkningsanmälan</t>
        </is>
      </c>
      <c r="C227" t="inlineStr">
        <is>
          <t>Föryngringsavverkning</t>
        </is>
      </c>
      <c r="D227" s="1" t="n">
        <v>45401</v>
      </c>
      <c r="E227" s="1" t="n">
        <v>46222</v>
      </c>
      <c r="F227" t="inlineStr">
        <is>
          <t>BLEKINGE LÄN</t>
        </is>
      </c>
      <c r="G227" t="inlineStr">
        <is>
          <t>OLOFSTRÖM</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39876-2023</t>
        </is>
      </c>
      <c r="B228" t="inlineStr">
        <is>
          <t>avverkningsanmälan</t>
        </is>
      </c>
      <c r="C228" t="inlineStr">
        <is>
          <t>Föryngringsavverkning</t>
        </is>
      </c>
      <c r="D228" s="1" t="n">
        <v>45166</v>
      </c>
      <c r="E228" s="1" t="n">
        <v>46222</v>
      </c>
      <c r="F228" t="inlineStr">
        <is>
          <t>BLEKINGE LÄN</t>
        </is>
      </c>
      <c r="G228" t="inlineStr">
        <is>
          <t>OLOFSTRÖM</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49389-2024</t>
        </is>
      </c>
      <c r="B229" t="inlineStr">
        <is>
          <t>avverkningsanmälan</t>
        </is>
      </c>
      <c r="C229" t="inlineStr">
        <is>
          <t>Föryngringsavverkning</t>
        </is>
      </c>
      <c r="D229" s="1" t="n">
        <v>45595</v>
      </c>
      <c r="E229" s="1" t="n">
        <v>46222</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42464-2023</t>
        </is>
      </c>
      <c r="B230" t="inlineStr">
        <is>
          <t>avverkningsanmälan</t>
        </is>
      </c>
      <c r="C230" t="inlineStr">
        <is>
          <t>Föryngringsavverkning</t>
        </is>
      </c>
      <c r="D230" s="1" t="n">
        <v>45180</v>
      </c>
      <c r="E230" s="1" t="n">
        <v>46222</v>
      </c>
      <c r="F230" t="inlineStr">
        <is>
          <t>BLEKINGE LÄN</t>
        </is>
      </c>
      <c r="G230" t="inlineStr">
        <is>
          <t>OLOFSTRÖM</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63410-2023</t>
        </is>
      </c>
      <c r="B231" t="inlineStr">
        <is>
          <t>avverkningsanmälan</t>
        </is>
      </c>
      <c r="C231" t="inlineStr">
        <is>
          <t>Föryngringsavverkning</t>
        </is>
      </c>
      <c r="D231" s="1" t="n">
        <v>45274</v>
      </c>
      <c r="E231" s="1" t="n">
        <v>46222</v>
      </c>
      <c r="F231" t="inlineStr">
        <is>
          <t>BLEKINGE LÄN</t>
        </is>
      </c>
      <c r="G231" t="inlineStr">
        <is>
          <t>OLOFSTRÖM</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42300-2023</t>
        </is>
      </c>
      <c r="B232" t="inlineStr">
        <is>
          <t>avverkningsanmälan</t>
        </is>
      </c>
      <c r="C232" t="inlineStr">
        <is>
          <t>Föryngringsavverkning</t>
        </is>
      </c>
      <c r="D232" s="1" t="n">
        <v>45180</v>
      </c>
      <c r="E232" s="1" t="n">
        <v>46222</v>
      </c>
      <c r="F232" t="inlineStr">
        <is>
          <t>BLEKINGE LÄN</t>
        </is>
      </c>
      <c r="G232" t="inlineStr">
        <is>
          <t>OLOFSTRÖM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2885-2022</t>
        </is>
      </c>
      <c r="B233" t="inlineStr">
        <is>
          <t>avverkningsanmälan</t>
        </is>
      </c>
      <c r="C233" t="inlineStr">
        <is>
          <t>Föryngringsavverkning</t>
        </is>
      </c>
      <c r="D233" s="1" t="n">
        <v>44581</v>
      </c>
      <c r="E233" s="1" t="n">
        <v>46222</v>
      </c>
      <c r="F233" t="inlineStr">
        <is>
          <t>BLEKINGE LÄN</t>
        </is>
      </c>
      <c r="G233" t="inlineStr">
        <is>
          <t>OLOFSTRÖM</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32351-2023</t>
        </is>
      </c>
      <c r="B234" t="inlineStr">
        <is>
          <t>avverkningsanmälan</t>
        </is>
      </c>
      <c r="C234" t="inlineStr">
        <is>
          <t>Föryngringsavverkning</t>
        </is>
      </c>
      <c r="D234" s="1" t="n">
        <v>45120</v>
      </c>
      <c r="E234" s="1" t="n">
        <v>46222</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34936-2024</t>
        </is>
      </c>
      <c r="B235" t="inlineStr">
        <is>
          <t>avverkningsanmälan</t>
        </is>
      </c>
      <c r="C235" t="inlineStr">
        <is>
          <t>Föryngringsavverkning</t>
        </is>
      </c>
      <c r="D235" s="1" t="n">
        <v>45527</v>
      </c>
      <c r="E235" s="1" t="n">
        <v>46222</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50709-2024</t>
        </is>
      </c>
      <c r="B236" t="inlineStr">
        <is>
          <t>avverkningsanmälan</t>
        </is>
      </c>
      <c r="C236" t="inlineStr">
        <is>
          <t>Föryngringsavverkning</t>
        </is>
      </c>
      <c r="D236" s="1" t="n">
        <v>45602</v>
      </c>
      <c r="E236" s="1" t="n">
        <v>46222</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49786-2022</t>
        </is>
      </c>
      <c r="B237" t="inlineStr">
        <is>
          <t>avverkningsanmälan</t>
        </is>
      </c>
      <c r="C237" t="inlineStr">
        <is>
          <t>Föryngringsavverkning</t>
        </is>
      </c>
      <c r="D237" s="1" t="n">
        <v>44862</v>
      </c>
      <c r="E237" s="1" t="n">
        <v>46222</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6296-2025</t>
        </is>
      </c>
      <c r="B238" t="inlineStr">
        <is>
          <t>avverkningsanmälan</t>
        </is>
      </c>
      <c r="C238" t="inlineStr">
        <is>
          <t>Föryngringsavverkning</t>
        </is>
      </c>
      <c r="D238" s="1" t="n">
        <v>45698</v>
      </c>
      <c r="E238" s="1" t="n">
        <v>46222</v>
      </c>
      <c r="F238" t="inlineStr">
        <is>
          <t>BLEKINGE LÄN</t>
        </is>
      </c>
      <c r="G238" t="inlineStr">
        <is>
          <t>OLOFSTRÖM</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33862-2023</t>
        </is>
      </c>
      <c r="B239" t="inlineStr">
        <is>
          <t>avverkningsanmälan</t>
        </is>
      </c>
      <c r="C239" t="inlineStr">
        <is>
          <t>Föryngringsavverkning</t>
        </is>
      </c>
      <c r="D239" s="1" t="n">
        <v>45133</v>
      </c>
      <c r="E239" s="1" t="n">
        <v>46222</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47774-2023</t>
        </is>
      </c>
      <c r="B240" t="inlineStr">
        <is>
          <t>avverkningsanmälan</t>
        </is>
      </c>
      <c r="C240" t="inlineStr">
        <is>
          <t>Föryngringsavverkning</t>
        </is>
      </c>
      <c r="D240" s="1" t="n">
        <v>45203</v>
      </c>
      <c r="E240" s="1" t="n">
        <v>46222</v>
      </c>
      <c r="F240" t="inlineStr">
        <is>
          <t>BLEKINGE LÄN</t>
        </is>
      </c>
      <c r="G240" t="inlineStr">
        <is>
          <t>OLOFSTRÖM</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13988-2023</t>
        </is>
      </c>
      <c r="B241" t="inlineStr">
        <is>
          <t>avverkningsanmälan</t>
        </is>
      </c>
      <c r="C241" t="inlineStr">
        <is>
          <t>Föryngringsavverkning</t>
        </is>
      </c>
      <c r="D241" s="1" t="n">
        <v>45008</v>
      </c>
      <c r="E241" s="1" t="n">
        <v>46222</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28328-2025</t>
        </is>
      </c>
      <c r="B242" t="inlineStr">
        <is>
          <t>avverkningsanmälan</t>
        </is>
      </c>
      <c r="C242" t="inlineStr">
        <is>
          <t>Föryngringsavverkning</t>
        </is>
      </c>
      <c r="D242" s="1" t="n">
        <v>45818</v>
      </c>
      <c r="E242" s="1" t="n">
        <v>46222</v>
      </c>
      <c r="F242" t="inlineStr">
        <is>
          <t>BLEKINGE LÄN</t>
        </is>
      </c>
      <c r="G242" t="inlineStr">
        <is>
          <t>OLOFSTRÖM</t>
        </is>
      </c>
      <c r="I242" t="n">
        <v>3.4</v>
      </c>
      <c r="J242" t="n">
        <v>0</v>
      </c>
      <c r="K242" t="n">
        <v>0</v>
      </c>
      <c r="L242" t="n">
        <v>0</v>
      </c>
      <c r="M242" t="n">
        <v>0</v>
      </c>
      <c r="N242" t="n">
        <v>0</v>
      </c>
      <c r="O242" t="n">
        <v>0</v>
      </c>
      <c r="P242" t="n">
        <v>0</v>
      </c>
      <c r="Q242" t="n">
        <v>0</v>
      </c>
      <c r="R242" t="n">
        <v>0</v>
      </c>
      <c r="S242" t="n">
        <v>0</v>
      </c>
      <c r="T242" t="n">
        <v>0</v>
      </c>
      <c r="U242" s="2" t="inlineStr"/>
    </row>
    <row r="243" ht="15" customHeight="1">
      <c r="A243" t="inlineStr">
        <is>
          <t>A 34932-2025</t>
        </is>
      </c>
      <c r="B243" t="inlineStr">
        <is>
          <t>avverkningsanmälan</t>
        </is>
      </c>
      <c r="C243" t="inlineStr">
        <is>
          <t>Föryngringsavverkning</t>
        </is>
      </c>
      <c r="D243" s="1" t="n">
        <v>45849</v>
      </c>
      <c r="E243" s="1" t="n">
        <v>46222</v>
      </c>
      <c r="F243" t="inlineStr">
        <is>
          <t>BLEKINGE LÄN</t>
        </is>
      </c>
      <c r="G243" t="inlineStr">
        <is>
          <t>OLOFSTRÖM</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20448-2025</t>
        </is>
      </c>
      <c r="B244" t="inlineStr">
        <is>
          <t>avverkningsanmälan</t>
        </is>
      </c>
      <c r="C244" t="inlineStr">
        <is>
          <t>Föryngringsavverkning</t>
        </is>
      </c>
      <c r="D244" s="1" t="n">
        <v>45775</v>
      </c>
      <c r="E244" s="1" t="n">
        <v>46222</v>
      </c>
      <c r="F244" t="inlineStr">
        <is>
          <t>BLEKINGE LÄN</t>
        </is>
      </c>
      <c r="G244" t="inlineStr">
        <is>
          <t>OLOFSTRÖM</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3203-2022</t>
        </is>
      </c>
      <c r="B245" t="inlineStr">
        <is>
          <t>avverkningsanmälan</t>
        </is>
      </c>
      <c r="C245" t="inlineStr">
        <is>
          <t>Föryngringsavverkning</t>
        </is>
      </c>
      <c r="D245" s="1" t="n">
        <v>44582</v>
      </c>
      <c r="E245" s="1" t="n">
        <v>46222</v>
      </c>
      <c r="F245" t="inlineStr">
        <is>
          <t>BLEKINGE LÄN</t>
        </is>
      </c>
      <c r="G245" t="inlineStr">
        <is>
          <t>OLOFSTRÖM</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42736-2022</t>
        </is>
      </c>
      <c r="B246" t="inlineStr">
        <is>
          <t>avverkningsanmälan</t>
        </is>
      </c>
      <c r="C246" t="inlineStr">
        <is>
          <t>Föryngringsavverkning</t>
        </is>
      </c>
      <c r="D246" s="1" t="n">
        <v>44832</v>
      </c>
      <c r="E246" s="1" t="n">
        <v>46222</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39520-2024</t>
        </is>
      </c>
      <c r="B247" t="inlineStr">
        <is>
          <t>avverkningsanmälan</t>
        </is>
      </c>
      <c r="C247" t="inlineStr">
        <is>
          <t>Föryngringsavverkning</t>
        </is>
      </c>
      <c r="D247" s="1" t="n">
        <v>45551</v>
      </c>
      <c r="E247" s="1" t="n">
        <v>46222</v>
      </c>
      <c r="F247" t="inlineStr">
        <is>
          <t>BLEKINGE LÄN</t>
        </is>
      </c>
      <c r="G247" t="inlineStr">
        <is>
          <t>OLOFSTRÖM</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8486-2025</t>
        </is>
      </c>
      <c r="B248" t="inlineStr">
        <is>
          <t>avverkningsanmälan</t>
        </is>
      </c>
      <c r="C248" t="inlineStr">
        <is>
          <t>Föryngringsavverkning</t>
        </is>
      </c>
      <c r="D248" s="1" t="n">
        <v>45709</v>
      </c>
      <c r="E248" s="1" t="n">
        <v>46222</v>
      </c>
      <c r="F248" t="inlineStr">
        <is>
          <t>BLEKINGE LÄN</t>
        </is>
      </c>
      <c r="G248" t="inlineStr">
        <is>
          <t>OLOFSTRÖM</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49052-2024</t>
        </is>
      </c>
      <c r="B249" t="inlineStr">
        <is>
          <t>avverkningsanmälan</t>
        </is>
      </c>
      <c r="C249" t="inlineStr">
        <is>
          <t>Föryngringsavverkning</t>
        </is>
      </c>
      <c r="D249" s="1" t="n">
        <v>45594</v>
      </c>
      <c r="E249" s="1" t="n">
        <v>46222</v>
      </c>
      <c r="F249" t="inlineStr">
        <is>
          <t>BLEKINGE LÄN</t>
        </is>
      </c>
      <c r="G249" t="inlineStr">
        <is>
          <t>OLOFSTRÖM</t>
        </is>
      </c>
      <c r="I249" t="n">
        <v>3.5</v>
      </c>
      <c r="J249" t="n">
        <v>0</v>
      </c>
      <c r="K249" t="n">
        <v>0</v>
      </c>
      <c r="L249" t="n">
        <v>0</v>
      </c>
      <c r="M249" t="n">
        <v>0</v>
      </c>
      <c r="N249" t="n">
        <v>0</v>
      </c>
      <c r="O249" t="n">
        <v>0</v>
      </c>
      <c r="P249" t="n">
        <v>0</v>
      </c>
      <c r="Q249" t="n">
        <v>0</v>
      </c>
      <c r="R249" t="n">
        <v>0</v>
      </c>
      <c r="S249" t="n">
        <v>0</v>
      </c>
      <c r="T249" t="n">
        <v>0</v>
      </c>
      <c r="U249" s="2" t="inlineStr"/>
    </row>
    <row r="250" ht="15" customHeight="1">
      <c r="A250" t="inlineStr">
        <is>
          <t>A 39882-2023</t>
        </is>
      </c>
      <c r="B250" t="inlineStr">
        <is>
          <t>avverkningsanmälan</t>
        </is>
      </c>
      <c r="C250" t="inlineStr">
        <is>
          <t>Föryngringsavverkning</t>
        </is>
      </c>
      <c r="D250" s="1" t="n">
        <v>45166</v>
      </c>
      <c r="E250" s="1" t="n">
        <v>46222</v>
      </c>
      <c r="F250" t="inlineStr">
        <is>
          <t>BLEKINGE LÄN</t>
        </is>
      </c>
      <c r="G250" t="inlineStr">
        <is>
          <t>OLOFSTRÖM</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39775-2024</t>
        </is>
      </c>
      <c r="B251" t="inlineStr">
        <is>
          <t>avverkningsanmälan</t>
        </is>
      </c>
      <c r="C251" t="inlineStr">
        <is>
          <t>Avverkning för annat ändamål</t>
        </is>
      </c>
      <c r="D251" s="1" t="n">
        <v>45552</v>
      </c>
      <c r="E251" s="1" t="n">
        <v>46222</v>
      </c>
      <c r="F251" t="inlineStr">
        <is>
          <t>BLEKINGE LÄN</t>
        </is>
      </c>
      <c r="G251" t="inlineStr">
        <is>
          <t>OLOFSTRÖM</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42004-2023</t>
        </is>
      </c>
      <c r="B252" t="inlineStr">
        <is>
          <t>avverkningsanmälan</t>
        </is>
      </c>
      <c r="C252" t="inlineStr">
        <is>
          <t>Föryngringsavverkning</t>
        </is>
      </c>
      <c r="D252" s="1" t="n">
        <v>45177</v>
      </c>
      <c r="E252" s="1" t="n">
        <v>46222</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38405-2025</t>
        </is>
      </c>
      <c r="B253" t="inlineStr">
        <is>
          <t>avverkningsanmälan</t>
        </is>
      </c>
      <c r="C253" t="inlineStr">
        <is>
          <t>Föryngringsavverkning</t>
        </is>
      </c>
      <c r="D253" s="1" t="n">
        <v>45883</v>
      </c>
      <c r="E253" s="1" t="n">
        <v>46222</v>
      </c>
      <c r="F253" t="inlineStr">
        <is>
          <t>BLEKINGE LÄN</t>
        </is>
      </c>
      <c r="G253" t="inlineStr">
        <is>
          <t>OLOFSTRÖM</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28538-2022</t>
        </is>
      </c>
      <c r="B254" t="inlineStr">
        <is>
          <t>avverkningsanmälan</t>
        </is>
      </c>
      <c r="C254" t="inlineStr">
        <is>
          <t>Föryngringsavverkning</t>
        </is>
      </c>
      <c r="D254" s="1" t="n">
        <v>44748</v>
      </c>
      <c r="E254" s="1" t="n">
        <v>46222</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48535-2025</t>
        </is>
      </c>
      <c r="B255" t="inlineStr">
        <is>
          <t>avverkningsanmälan</t>
        </is>
      </c>
      <c r="C255" t="inlineStr">
        <is>
          <t>Föryngringsavverkning</t>
        </is>
      </c>
      <c r="D255" s="1" t="n">
        <v>45936</v>
      </c>
      <c r="E255" s="1" t="n">
        <v>46222</v>
      </c>
      <c r="F255" t="inlineStr">
        <is>
          <t>BLEKINGE LÄN</t>
        </is>
      </c>
      <c r="G255" t="inlineStr">
        <is>
          <t>OLOFSTRÖM</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36875-2022</t>
        </is>
      </c>
      <c r="B256" t="inlineStr">
        <is>
          <t>avverkningsanmälan</t>
        </is>
      </c>
      <c r="C256" t="inlineStr">
        <is>
          <t>Föryngringsavverkning</t>
        </is>
      </c>
      <c r="D256" s="1" t="n">
        <v>44805</v>
      </c>
      <c r="E256" s="1" t="n">
        <v>46222</v>
      </c>
      <c r="F256" t="inlineStr">
        <is>
          <t>BLEKINGE LÄN</t>
        </is>
      </c>
      <c r="G256" t="inlineStr">
        <is>
          <t>OLOFSTRÖM</t>
        </is>
      </c>
      <c r="I256" t="n">
        <v>3.5</v>
      </c>
      <c r="J256" t="n">
        <v>0</v>
      </c>
      <c r="K256" t="n">
        <v>0</v>
      </c>
      <c r="L256" t="n">
        <v>0</v>
      </c>
      <c r="M256" t="n">
        <v>0</v>
      </c>
      <c r="N256" t="n">
        <v>0</v>
      </c>
      <c r="O256" t="n">
        <v>0</v>
      </c>
      <c r="P256" t="n">
        <v>0</v>
      </c>
      <c r="Q256" t="n">
        <v>0</v>
      </c>
      <c r="R256" t="n">
        <v>0</v>
      </c>
      <c r="S256" t="n">
        <v>0</v>
      </c>
      <c r="T256" t="n">
        <v>0</v>
      </c>
      <c r="U256" s="2" t="inlineStr"/>
    </row>
    <row r="257" ht="15" customHeight="1">
      <c r="A257" t="inlineStr">
        <is>
          <t>A 46921-2024</t>
        </is>
      </c>
      <c r="B257" t="inlineStr">
        <is>
          <t>avverkningsanmälan</t>
        </is>
      </c>
      <c r="C257" t="inlineStr">
        <is>
          <t>Föryngringsavverkning</t>
        </is>
      </c>
      <c r="D257" s="1" t="n">
        <v>45583</v>
      </c>
      <c r="E257" s="1" t="n">
        <v>46222</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23782-2025</t>
        </is>
      </c>
      <c r="B258" t="inlineStr">
        <is>
          <t>avverkningsanmälan</t>
        </is>
      </c>
      <c r="C258" t="inlineStr">
        <is>
          <t>Föryngringsavverkning</t>
        </is>
      </c>
      <c r="D258" s="1" t="n">
        <v>45793</v>
      </c>
      <c r="E258" s="1" t="n">
        <v>46222</v>
      </c>
      <c r="F258" t="inlineStr">
        <is>
          <t>BLEKINGE LÄN</t>
        </is>
      </c>
      <c r="G258" t="inlineStr">
        <is>
          <t>OLOFSTRÖM</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55999-2024</t>
        </is>
      </c>
      <c r="B259" t="inlineStr">
        <is>
          <t>avverkningsanmälan</t>
        </is>
      </c>
      <c r="C259" t="inlineStr">
        <is>
          <t>Föryngringsavverkning</t>
        </is>
      </c>
      <c r="D259" s="1" t="n">
        <v>45623</v>
      </c>
      <c r="E259" s="1" t="n">
        <v>46222</v>
      </c>
      <c r="F259" t="inlineStr">
        <is>
          <t>BLEKINGE LÄN</t>
        </is>
      </c>
      <c r="G259" t="inlineStr">
        <is>
          <t>OLOFSTRÖM</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34746-2023</t>
        </is>
      </c>
      <c r="B260" t="inlineStr">
        <is>
          <t>avverkningsanmälan</t>
        </is>
      </c>
      <c r="C260" t="inlineStr">
        <is>
          <t>Föryngringsavverkning</t>
        </is>
      </c>
      <c r="D260" s="1" t="n">
        <v>45141</v>
      </c>
      <c r="E260" s="1" t="n">
        <v>46222</v>
      </c>
      <c r="F260" t="inlineStr">
        <is>
          <t>BLEKINGE LÄN</t>
        </is>
      </c>
      <c r="G260" t="inlineStr">
        <is>
          <t>OLOFSTRÖM</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49301-2022</t>
        </is>
      </c>
      <c r="B261" t="inlineStr">
        <is>
          <t>avverkningsanmälan</t>
        </is>
      </c>
      <c r="C261" t="inlineStr">
        <is>
          <t>Föryngringsavverkning</t>
        </is>
      </c>
      <c r="D261" s="1" t="n">
        <v>44858</v>
      </c>
      <c r="E261" s="1" t="n">
        <v>46222</v>
      </c>
      <c r="F261" t="inlineStr">
        <is>
          <t>BLEKINGE LÄN</t>
        </is>
      </c>
      <c r="G261" t="inlineStr">
        <is>
          <t>OLOFSTRÖM</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30823-2024</t>
        </is>
      </c>
      <c r="B262" t="inlineStr">
        <is>
          <t>avverkningsanmälan</t>
        </is>
      </c>
      <c r="C262" t="inlineStr">
        <is>
          <t>Avverkning för annat ändamål</t>
        </is>
      </c>
      <c r="D262" s="1" t="n">
        <v>45497</v>
      </c>
      <c r="E262" s="1" t="n">
        <v>46222</v>
      </c>
      <c r="F262" t="inlineStr">
        <is>
          <t>BLEKINGE LÄN</t>
        </is>
      </c>
      <c r="G262" t="inlineStr">
        <is>
          <t>OLOFSTRÖM</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5552-2025</t>
        </is>
      </c>
      <c r="B263" t="inlineStr">
        <is>
          <t>avverkningsanmälan</t>
        </is>
      </c>
      <c r="C263" t="inlineStr">
        <is>
          <t>Föryngringsavverkning</t>
        </is>
      </c>
      <c r="D263" s="1" t="n">
        <v>45693</v>
      </c>
      <c r="E263" s="1" t="n">
        <v>46222</v>
      </c>
      <c r="F263" t="inlineStr">
        <is>
          <t>BLEKINGE LÄN</t>
        </is>
      </c>
      <c r="G263" t="inlineStr">
        <is>
          <t>OLOFSTRÖM</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6649-2025</t>
        </is>
      </c>
      <c r="B264" t="inlineStr">
        <is>
          <t>avverkningsanmälan</t>
        </is>
      </c>
      <c r="C264" t="inlineStr">
        <is>
          <t>Föryngringsavverkning</t>
        </is>
      </c>
      <c r="D264" s="1" t="n">
        <v>45700</v>
      </c>
      <c r="E264" s="1" t="n">
        <v>46222</v>
      </c>
      <c r="F264" t="inlineStr">
        <is>
          <t>BLEKINGE LÄN</t>
        </is>
      </c>
      <c r="G264" t="inlineStr">
        <is>
          <t>OLOFSTRÖM</t>
        </is>
      </c>
      <c r="H264" t="inlineStr">
        <is>
          <t>Kommuner</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6676-2025</t>
        </is>
      </c>
      <c r="B265" t="inlineStr">
        <is>
          <t>avverkningsanmälan</t>
        </is>
      </c>
      <c r="C265" t="inlineStr">
        <is>
          <t>Föryngringsavverkning</t>
        </is>
      </c>
      <c r="D265" s="1" t="n">
        <v>45700</v>
      </c>
      <c r="E265" s="1" t="n">
        <v>46222</v>
      </c>
      <c r="F265" t="inlineStr">
        <is>
          <t>BLEKINGE LÄN</t>
        </is>
      </c>
      <c r="G265" t="inlineStr">
        <is>
          <t>OLOFSTRÖM</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39871-2023</t>
        </is>
      </c>
      <c r="B266" t="inlineStr">
        <is>
          <t>avverkningsanmälan</t>
        </is>
      </c>
      <c r="C266" t="inlineStr">
        <is>
          <t>Föryngringsavverkning</t>
        </is>
      </c>
      <c r="D266" s="1" t="n">
        <v>45166</v>
      </c>
      <c r="E266" s="1" t="n">
        <v>46222</v>
      </c>
      <c r="F266" t="inlineStr">
        <is>
          <t>BLEKINGE LÄN</t>
        </is>
      </c>
      <c r="G266" t="inlineStr">
        <is>
          <t>OLOFSTRÖM</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21048-2022</t>
        </is>
      </c>
      <c r="B267" t="inlineStr">
        <is>
          <t>avverkningsanmälan</t>
        </is>
      </c>
      <c r="C267" t="inlineStr">
        <is>
          <t>Föryngringsavverkning</t>
        </is>
      </c>
      <c r="D267" s="1" t="n">
        <v>44704</v>
      </c>
      <c r="E267" s="1" t="n">
        <v>46222</v>
      </c>
      <c r="F267" t="inlineStr">
        <is>
          <t>BLEKINGE LÄN</t>
        </is>
      </c>
      <c r="G267" t="inlineStr">
        <is>
          <t>OLOFSTRÖM</t>
        </is>
      </c>
      <c r="H267" t="inlineStr">
        <is>
          <t>Övriga Aktiebolag</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65035-2023</t>
        </is>
      </c>
      <c r="B268" t="inlineStr">
        <is>
          <t>avverkningsanmälan</t>
        </is>
      </c>
      <c r="C268" t="inlineStr">
        <is>
          <t>Föryngringsavverkning</t>
        </is>
      </c>
      <c r="D268" s="1" t="n">
        <v>45282</v>
      </c>
      <c r="E268" s="1" t="n">
        <v>46222</v>
      </c>
      <c r="F268" t="inlineStr">
        <is>
          <t>BLEKINGE LÄN</t>
        </is>
      </c>
      <c r="G268" t="inlineStr">
        <is>
          <t>OLOFSTRÖM</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8041-2025</t>
        </is>
      </c>
      <c r="B269" t="inlineStr">
        <is>
          <t>avverkningsanmälan</t>
        </is>
      </c>
      <c r="C269" t="inlineStr">
        <is>
          <t>Föryngringsavverkning</t>
        </is>
      </c>
      <c r="D269" s="1" t="n">
        <v>45707</v>
      </c>
      <c r="E269" s="1" t="n">
        <v>46222</v>
      </c>
      <c r="F269" t="inlineStr">
        <is>
          <t>BLEKINGE LÄN</t>
        </is>
      </c>
      <c r="G269" t="inlineStr">
        <is>
          <t>OLOFSTRÖM</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8060-2025</t>
        </is>
      </c>
      <c r="B270" t="inlineStr">
        <is>
          <t>avverkningsanmälan</t>
        </is>
      </c>
      <c r="C270" t="inlineStr">
        <is>
          <t>Föryngringsavverkning</t>
        </is>
      </c>
      <c r="D270" s="1" t="n">
        <v>45707</v>
      </c>
      <c r="E270" s="1" t="n">
        <v>46222</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47892-2023</t>
        </is>
      </c>
      <c r="B271" t="inlineStr">
        <is>
          <t>avverkningsanmälan</t>
        </is>
      </c>
      <c r="C271" t="inlineStr">
        <is>
          <t>Föryngringsavverkning</t>
        </is>
      </c>
      <c r="D271" s="1" t="n">
        <v>45198</v>
      </c>
      <c r="E271" s="1" t="n">
        <v>46222</v>
      </c>
      <c r="F271" t="inlineStr">
        <is>
          <t>BLEKINGE LÄN</t>
        </is>
      </c>
      <c r="G271" t="inlineStr">
        <is>
          <t>OLOFSTRÖM</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49298-2022</t>
        </is>
      </c>
      <c r="B272" t="inlineStr">
        <is>
          <t>avverkningsanmälan</t>
        </is>
      </c>
      <c r="C272" t="inlineStr">
        <is>
          <t>Föryngringsavverkning</t>
        </is>
      </c>
      <c r="D272" s="1" t="n">
        <v>44858</v>
      </c>
      <c r="E272" s="1" t="n">
        <v>46222</v>
      </c>
      <c r="F272" t="inlineStr">
        <is>
          <t>BLEKINGE LÄN</t>
        </is>
      </c>
      <c r="G272" t="inlineStr">
        <is>
          <t>OLOFSTRÖM</t>
        </is>
      </c>
      <c r="I272" t="n">
        <v>9.6</v>
      </c>
      <c r="J272" t="n">
        <v>0</v>
      </c>
      <c r="K272" t="n">
        <v>0</v>
      </c>
      <c r="L272" t="n">
        <v>0</v>
      </c>
      <c r="M272" t="n">
        <v>0</v>
      </c>
      <c r="N272" t="n">
        <v>0</v>
      </c>
      <c r="O272" t="n">
        <v>0</v>
      </c>
      <c r="P272" t="n">
        <v>0</v>
      </c>
      <c r="Q272" t="n">
        <v>0</v>
      </c>
      <c r="R272" t="n">
        <v>0</v>
      </c>
      <c r="S272" t="n">
        <v>0</v>
      </c>
      <c r="T272" t="n">
        <v>0</v>
      </c>
      <c r="U272" s="2" t="inlineStr"/>
    </row>
    <row r="273" ht="15" customHeight="1">
      <c r="A273" t="inlineStr">
        <is>
          <t>A 28249-2025</t>
        </is>
      </c>
      <c r="B273" t="inlineStr">
        <is>
          <t>avverkningsanmälan</t>
        </is>
      </c>
      <c r="C273" t="inlineStr">
        <is>
          <t>Föryngringsavverkning</t>
        </is>
      </c>
      <c r="D273" s="1" t="n">
        <v>45818</v>
      </c>
      <c r="E273" s="1" t="n">
        <v>46222</v>
      </c>
      <c r="F273" t="inlineStr">
        <is>
          <t>BLEKINGE LÄN</t>
        </is>
      </c>
      <c r="G273" t="inlineStr">
        <is>
          <t>OLOFSTRÖM</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57915-2023</t>
        </is>
      </c>
      <c r="B274" t="inlineStr">
        <is>
          <t>avverkningsanmälan</t>
        </is>
      </c>
      <c r="C274" t="inlineStr">
        <is>
          <t>Föryngringsavverkning</t>
        </is>
      </c>
      <c r="D274" s="1" t="n">
        <v>45247</v>
      </c>
      <c r="E274" s="1" t="n">
        <v>46222</v>
      </c>
      <c r="F274" t="inlineStr">
        <is>
          <t>BLEKINGE LÄN</t>
        </is>
      </c>
      <c r="G274" t="inlineStr">
        <is>
          <t>OLOFSTRÖM</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38886-2022</t>
        </is>
      </c>
      <c r="B275" t="inlineStr">
        <is>
          <t>avverkningsanmälan</t>
        </is>
      </c>
      <c r="C275" t="inlineStr">
        <is>
          <t>Föryngringsavverkning</t>
        </is>
      </c>
      <c r="D275" s="1" t="n">
        <v>44816</v>
      </c>
      <c r="E275" s="1" t="n">
        <v>46222</v>
      </c>
      <c r="F275" t="inlineStr">
        <is>
          <t>BLEKINGE LÄN</t>
        </is>
      </c>
      <c r="G275" t="inlineStr">
        <is>
          <t>OLOFSTRÖM</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61934-2025</t>
        </is>
      </c>
      <c r="B276" t="inlineStr">
        <is>
          <t>avverkningsanmälan</t>
        </is>
      </c>
      <c r="C276" t="inlineStr">
        <is>
          <t>Föryngringsavverkning</t>
        </is>
      </c>
      <c r="D276" s="1" t="n">
        <v>46003</v>
      </c>
      <c r="E276" s="1" t="n">
        <v>46222</v>
      </c>
      <c r="F276" t="inlineStr">
        <is>
          <t>BLEKINGE LÄN</t>
        </is>
      </c>
      <c r="G276" t="inlineStr">
        <is>
          <t>OLOFSTRÖM</t>
        </is>
      </c>
      <c r="I276" t="n">
        <v>8.9</v>
      </c>
      <c r="J276" t="n">
        <v>0</v>
      </c>
      <c r="K276" t="n">
        <v>0</v>
      </c>
      <c r="L276" t="n">
        <v>0</v>
      </c>
      <c r="M276" t="n">
        <v>0</v>
      </c>
      <c r="N276" t="n">
        <v>0</v>
      </c>
      <c r="O276" t="n">
        <v>0</v>
      </c>
      <c r="P276" t="n">
        <v>0</v>
      </c>
      <c r="Q276" t="n">
        <v>0</v>
      </c>
      <c r="R276" t="n">
        <v>0</v>
      </c>
      <c r="S276" t="n">
        <v>0</v>
      </c>
      <c r="T276" t="n">
        <v>0</v>
      </c>
      <c r="U276" s="2" t="inlineStr"/>
    </row>
    <row r="277" ht="15" customHeight="1">
      <c r="A277" t="inlineStr">
        <is>
          <t>A 21013-2026</t>
        </is>
      </c>
      <c r="B277" t="inlineStr">
        <is>
          <t>avverkningsanmälan</t>
        </is>
      </c>
      <c r="C277" t="inlineStr">
        <is>
          <t>Föryngringsavverkning</t>
        </is>
      </c>
      <c r="D277" s="1" t="n">
        <v>46143</v>
      </c>
      <c r="E277" s="1" t="n">
        <v>46222</v>
      </c>
      <c r="F277" t="inlineStr">
        <is>
          <t>BLEKINGE LÄN</t>
        </is>
      </c>
      <c r="G277" t="inlineStr">
        <is>
          <t>OLOFSTRÖM</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56612-2025</t>
        </is>
      </c>
      <c r="B278" t="inlineStr">
        <is>
          <t>avverkningsanmälan</t>
        </is>
      </c>
      <c r="C278" t="inlineStr">
        <is>
          <t>Föryngringsavverkning</t>
        </is>
      </c>
      <c r="D278" s="1" t="n">
        <v>45975</v>
      </c>
      <c r="E278" s="1" t="n">
        <v>46222</v>
      </c>
      <c r="F278" t="inlineStr">
        <is>
          <t>BLEKINGE LÄN</t>
        </is>
      </c>
      <c r="G278" t="inlineStr">
        <is>
          <t>OLOFSTRÖM</t>
        </is>
      </c>
      <c r="I278" t="n">
        <v>11.7</v>
      </c>
      <c r="J278" t="n">
        <v>0</v>
      </c>
      <c r="K278" t="n">
        <v>0</v>
      </c>
      <c r="L278" t="n">
        <v>0</v>
      </c>
      <c r="M278" t="n">
        <v>0</v>
      </c>
      <c r="N278" t="n">
        <v>0</v>
      </c>
      <c r="O278" t="n">
        <v>0</v>
      </c>
      <c r="P278" t="n">
        <v>0</v>
      </c>
      <c r="Q278" t="n">
        <v>0</v>
      </c>
      <c r="R278" t="n">
        <v>0</v>
      </c>
      <c r="S278" t="n">
        <v>0</v>
      </c>
      <c r="T278" t="n">
        <v>0</v>
      </c>
      <c r="U278" s="2" t="inlineStr"/>
    </row>
    <row r="279" ht="15" customHeight="1">
      <c r="A279" t="inlineStr">
        <is>
          <t>A 33664-2024</t>
        </is>
      </c>
      <c r="B279" t="inlineStr">
        <is>
          <t>avverkningsanmälan</t>
        </is>
      </c>
      <c r="C279" t="inlineStr">
        <is>
          <t>Föryngringsavverkning</t>
        </is>
      </c>
      <c r="D279" s="1" t="n">
        <v>45520</v>
      </c>
      <c r="E279" s="1" t="n">
        <v>46222</v>
      </c>
      <c r="F279" t="inlineStr">
        <is>
          <t>BLEKINGE LÄN</t>
        </is>
      </c>
      <c r="G279" t="inlineStr">
        <is>
          <t>OLOFSTRÖM</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33673-2024</t>
        </is>
      </c>
      <c r="B280" t="inlineStr">
        <is>
          <t>avverkningsanmälan</t>
        </is>
      </c>
      <c r="C280" t="inlineStr">
        <is>
          <t>Föryngringsavverkning</t>
        </is>
      </c>
      <c r="D280" s="1" t="n">
        <v>45520</v>
      </c>
      <c r="E280" s="1" t="n">
        <v>46222</v>
      </c>
      <c r="F280" t="inlineStr">
        <is>
          <t>BLEKINGE LÄN</t>
        </is>
      </c>
      <c r="G280" t="inlineStr">
        <is>
          <t>OLOFSTRÖM</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64810-2023</t>
        </is>
      </c>
      <c r="B281" t="inlineStr">
        <is>
          <t>avverkningsanmälan</t>
        </is>
      </c>
      <c r="C281" t="inlineStr">
        <is>
          <t>Föryngringsavverkning</t>
        </is>
      </c>
      <c r="D281" s="1" t="n">
        <v>45282</v>
      </c>
      <c r="E281" s="1" t="n">
        <v>46222</v>
      </c>
      <c r="F281" t="inlineStr">
        <is>
          <t>BLEKINGE LÄN</t>
        </is>
      </c>
      <c r="G281" t="inlineStr">
        <is>
          <t>OLOFSTRÖM</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3475-2024</t>
        </is>
      </c>
      <c r="B282" t="inlineStr">
        <is>
          <t>avverkningsanmälan</t>
        </is>
      </c>
      <c r="C282" t="inlineStr">
        <is>
          <t>Föryngringsavverkning</t>
        </is>
      </c>
      <c r="D282" s="1" t="n">
        <v>45320</v>
      </c>
      <c r="E282" s="1" t="n">
        <v>46222</v>
      </c>
      <c r="F282" t="inlineStr">
        <is>
          <t>BLEKINGE LÄN</t>
        </is>
      </c>
      <c r="G282" t="inlineStr">
        <is>
          <t>OLOFSTRÖM</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62677-2023</t>
        </is>
      </c>
      <c r="B283" t="inlineStr">
        <is>
          <t>avverkningsanmälan</t>
        </is>
      </c>
      <c r="C283" t="inlineStr">
        <is>
          <t>Föryngringsavverkning</t>
        </is>
      </c>
      <c r="D283" s="1" t="n">
        <v>45271</v>
      </c>
      <c r="E283" s="1" t="n">
        <v>46222</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65030-2023</t>
        </is>
      </c>
      <c r="B284" t="inlineStr">
        <is>
          <t>avverkningsanmälan</t>
        </is>
      </c>
      <c r="C284" t="inlineStr">
        <is>
          <t>Föryngringsavverkning</t>
        </is>
      </c>
      <c r="D284" s="1" t="n">
        <v>45282</v>
      </c>
      <c r="E284" s="1" t="n">
        <v>46222</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63392-2023</t>
        </is>
      </c>
      <c r="B285" t="inlineStr">
        <is>
          <t>avverkningsanmälan</t>
        </is>
      </c>
      <c r="C285" t="inlineStr">
        <is>
          <t>Föryngringsavverkning</t>
        </is>
      </c>
      <c r="D285" s="1" t="n">
        <v>45274</v>
      </c>
      <c r="E285" s="1" t="n">
        <v>46222</v>
      </c>
      <c r="F285" t="inlineStr">
        <is>
          <t>BLEKINGE LÄN</t>
        </is>
      </c>
      <c r="G285" t="inlineStr">
        <is>
          <t>OLOFSTRÖM</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63393-2023</t>
        </is>
      </c>
      <c r="B286" t="inlineStr">
        <is>
          <t>avverkningsanmälan</t>
        </is>
      </c>
      <c r="C286" t="inlineStr">
        <is>
          <t>Föryngringsavverkning</t>
        </is>
      </c>
      <c r="D286" s="1" t="n">
        <v>45274</v>
      </c>
      <c r="E286" s="1" t="n">
        <v>46222</v>
      </c>
      <c r="F286" t="inlineStr">
        <is>
          <t>BLEKINGE LÄN</t>
        </is>
      </c>
      <c r="G286" t="inlineStr">
        <is>
          <t>OLOFSTRÖM</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52067-2022</t>
        </is>
      </c>
      <c r="B287" t="inlineStr">
        <is>
          <t>avverkningsanmälan</t>
        </is>
      </c>
      <c r="C287" t="inlineStr">
        <is>
          <t>Föryngringsavverkning</t>
        </is>
      </c>
      <c r="D287" s="1" t="n">
        <v>44873</v>
      </c>
      <c r="E287" s="1" t="n">
        <v>46222</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6523-2024</t>
        </is>
      </c>
      <c r="B288" t="inlineStr">
        <is>
          <t>avverkningsanmälan</t>
        </is>
      </c>
      <c r="C288" t="inlineStr">
        <is>
          <t>Föryngringsavverkning</t>
        </is>
      </c>
      <c r="D288" s="1" t="n">
        <v>45341</v>
      </c>
      <c r="E288" s="1" t="n">
        <v>46222</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49894-2024</t>
        </is>
      </c>
      <c r="B289" t="inlineStr">
        <is>
          <t>avverkningsanmälan</t>
        </is>
      </c>
      <c r="C289" t="inlineStr">
        <is>
          <t>Föryngringsavverkning</t>
        </is>
      </c>
      <c r="D289" s="1" t="n">
        <v>45597</v>
      </c>
      <c r="E289" s="1" t="n">
        <v>46222</v>
      </c>
      <c r="F289" t="inlineStr">
        <is>
          <t>BLEKINGE LÄN</t>
        </is>
      </c>
      <c r="G289" t="inlineStr">
        <is>
          <t>OLOFSTRÖM</t>
        </is>
      </c>
      <c r="I289" t="n">
        <v>17.5</v>
      </c>
      <c r="J289" t="n">
        <v>0</v>
      </c>
      <c r="K289" t="n">
        <v>0</v>
      </c>
      <c r="L289" t="n">
        <v>0</v>
      </c>
      <c r="M289" t="n">
        <v>0</v>
      </c>
      <c r="N289" t="n">
        <v>0</v>
      </c>
      <c r="O289" t="n">
        <v>0</v>
      </c>
      <c r="P289" t="n">
        <v>0</v>
      </c>
      <c r="Q289" t="n">
        <v>0</v>
      </c>
      <c r="R289" t="n">
        <v>0</v>
      </c>
      <c r="S289" t="n">
        <v>0</v>
      </c>
      <c r="T289" t="n">
        <v>0</v>
      </c>
      <c r="U289" s="2" t="inlineStr"/>
    </row>
    <row r="290" ht="15" customHeight="1">
      <c r="A290" t="inlineStr">
        <is>
          <t>A 73654-2021</t>
        </is>
      </c>
      <c r="B290" t="inlineStr">
        <is>
          <t>avverkningsanmälan</t>
        </is>
      </c>
      <c r="C290" t="inlineStr">
        <is>
          <t>Föryngringsavverkning</t>
        </is>
      </c>
      <c r="D290" s="1" t="n">
        <v>44552</v>
      </c>
      <c r="E290" s="1" t="n">
        <v>46222</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39108-2024</t>
        </is>
      </c>
      <c r="B291" t="inlineStr">
        <is>
          <t>avverkningsanmälan</t>
        </is>
      </c>
      <c r="C291" t="inlineStr">
        <is>
          <t>Föryngringsavverkning</t>
        </is>
      </c>
      <c r="D291" s="1" t="n">
        <v>45548</v>
      </c>
      <c r="E291" s="1" t="n">
        <v>46222</v>
      </c>
      <c r="F291" t="inlineStr">
        <is>
          <t>BLEKINGE LÄN</t>
        </is>
      </c>
      <c r="G291" t="inlineStr">
        <is>
          <t>OLOFSTRÖM</t>
        </is>
      </c>
      <c r="I291" t="n">
        <v>5.5</v>
      </c>
      <c r="J291" t="n">
        <v>0</v>
      </c>
      <c r="K291" t="n">
        <v>0</v>
      </c>
      <c r="L291" t="n">
        <v>0</v>
      </c>
      <c r="M291" t="n">
        <v>0</v>
      </c>
      <c r="N291" t="n">
        <v>0</v>
      </c>
      <c r="O291" t="n">
        <v>0</v>
      </c>
      <c r="P291" t="n">
        <v>0</v>
      </c>
      <c r="Q291" t="n">
        <v>0</v>
      </c>
      <c r="R291" t="n">
        <v>0</v>
      </c>
      <c r="S291" t="n">
        <v>0</v>
      </c>
      <c r="T291" t="n">
        <v>0</v>
      </c>
      <c r="U291" s="2" t="inlineStr"/>
    </row>
    <row r="292" ht="15" customHeight="1">
      <c r="A292" t="inlineStr">
        <is>
          <t>A 46820-2022</t>
        </is>
      </c>
      <c r="B292" t="inlineStr">
        <is>
          <t>avverkningsanmälan</t>
        </is>
      </c>
      <c r="C292" t="inlineStr">
        <is>
          <t>Avverkning för annat ändamål</t>
        </is>
      </c>
      <c r="D292" s="1" t="n">
        <v>44851</v>
      </c>
      <c r="E292" s="1" t="n">
        <v>46222</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10717-2022</t>
        </is>
      </c>
      <c r="B293" t="inlineStr">
        <is>
          <t>avverkningsanmälan</t>
        </is>
      </c>
      <c r="C293" t="inlineStr">
        <is>
          <t>Avverkning för annat ändamål</t>
        </is>
      </c>
      <c r="D293" s="1" t="n">
        <v>44626</v>
      </c>
      <c r="E293" s="1" t="n">
        <v>46222</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62734-2023</t>
        </is>
      </c>
      <c r="B294" t="inlineStr">
        <is>
          <t>avverkningsanmälan</t>
        </is>
      </c>
      <c r="C294" t="inlineStr">
        <is>
          <t>Föryngringsavverkning</t>
        </is>
      </c>
      <c r="D294" s="1" t="n">
        <v>45268</v>
      </c>
      <c r="E294" s="1" t="n">
        <v>46222</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s="2" t="inlineStr"/>
    </row>
    <row r="295" ht="15" customHeight="1">
      <c r="A295" t="inlineStr">
        <is>
          <t>A 34903-2025</t>
        </is>
      </c>
      <c r="B295" t="inlineStr">
        <is>
          <t>avverkningsanmälan</t>
        </is>
      </c>
      <c r="C295" t="inlineStr">
        <is>
          <t>Föryngringsavverkning</t>
        </is>
      </c>
      <c r="D295" s="1" t="n">
        <v>45849</v>
      </c>
      <c r="E295" s="1" t="n">
        <v>46222</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s="2" t="inlineStr"/>
    </row>
    <row r="296" ht="15" customHeight="1">
      <c r="A296" t="inlineStr">
        <is>
          <t>A 29250-2026</t>
        </is>
      </c>
      <c r="B296" t="inlineStr">
        <is>
          <t>avverkningsanmälan</t>
        </is>
      </c>
      <c r="C296" t="inlineStr">
        <is>
          <t>Föryngringsavverkning</t>
        </is>
      </c>
      <c r="D296" s="1" t="n">
        <v>46202</v>
      </c>
      <c r="E296" s="1" t="n">
        <v>46222</v>
      </c>
      <c r="F296" t="inlineStr">
        <is>
          <t>BLEKINGE LÄN</t>
        </is>
      </c>
      <c r="G296" t="inlineStr">
        <is>
          <t>OLOFSTRÖM</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1028-2023</t>
        </is>
      </c>
      <c r="B297" t="inlineStr">
        <is>
          <t>avverkningsanmälan</t>
        </is>
      </c>
      <c r="C297" t="inlineStr">
        <is>
          <t>Föryngringsavverkning</t>
        </is>
      </c>
      <c r="D297" s="1" t="n">
        <v>44935</v>
      </c>
      <c r="E297" s="1" t="n">
        <v>46222</v>
      </c>
      <c r="F297" t="inlineStr">
        <is>
          <t>BLEKINGE LÄN</t>
        </is>
      </c>
      <c r="G297" t="inlineStr">
        <is>
          <t>OLOFSTRÖM</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58305-2023</t>
        </is>
      </c>
      <c r="B298" t="inlineStr">
        <is>
          <t>avverkningsanmälan</t>
        </is>
      </c>
      <c r="C298" t="inlineStr">
        <is>
          <t>Föryngringsavverkning</t>
        </is>
      </c>
      <c r="D298" s="1" t="n">
        <v>45245</v>
      </c>
      <c r="E298" s="1" t="n">
        <v>46222</v>
      </c>
      <c r="F298" t="inlineStr">
        <is>
          <t>BLEKINGE LÄN</t>
        </is>
      </c>
      <c r="G298" t="inlineStr">
        <is>
          <t>OLOFSTRÖM</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38088-2022</t>
        </is>
      </c>
      <c r="B299" t="inlineStr">
        <is>
          <t>avverkningsanmälan</t>
        </is>
      </c>
      <c r="C299" t="inlineStr">
        <is>
          <t>Föryngringsavverkning</t>
        </is>
      </c>
      <c r="D299" s="1" t="n">
        <v>44811</v>
      </c>
      <c r="E299" s="1" t="n">
        <v>46222</v>
      </c>
      <c r="F299" t="inlineStr">
        <is>
          <t>BLEKINGE LÄN</t>
        </is>
      </c>
      <c r="G299" t="inlineStr">
        <is>
          <t>OLOFSTRÖM</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13195-2023</t>
        </is>
      </c>
      <c r="B300" t="inlineStr">
        <is>
          <t>avverkningsanmälan</t>
        </is>
      </c>
      <c r="C300" t="inlineStr">
        <is>
          <t>Föryngringsavverkning</t>
        </is>
      </c>
      <c r="D300" s="1" t="n">
        <v>45002</v>
      </c>
      <c r="E300" s="1" t="n">
        <v>46222</v>
      </c>
      <c r="F300" t="inlineStr">
        <is>
          <t>BLEKINGE LÄN</t>
        </is>
      </c>
      <c r="G300" t="inlineStr">
        <is>
          <t>OLOFSTRÖM</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29245-2026</t>
        </is>
      </c>
      <c r="B301" t="inlineStr">
        <is>
          <t>avverkningsanmälan</t>
        </is>
      </c>
      <c r="C301" t="inlineStr">
        <is>
          <t>Föryngringsavverkning</t>
        </is>
      </c>
      <c r="D301" s="1" t="n">
        <v>46202</v>
      </c>
      <c r="E301" s="1" t="n">
        <v>46222</v>
      </c>
      <c r="F301" t="inlineStr">
        <is>
          <t>BLEKINGE LÄN</t>
        </is>
      </c>
      <c r="G301" t="inlineStr">
        <is>
          <t>OLOFSTRÖM</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42431-2023</t>
        </is>
      </c>
      <c r="B302" t="inlineStr">
        <is>
          <t>avverkningsanmälan</t>
        </is>
      </c>
      <c r="C302" t="inlineStr">
        <is>
          <t>Föryngringsavverkning</t>
        </is>
      </c>
      <c r="D302" s="1" t="n">
        <v>45180</v>
      </c>
      <c r="E302" s="1" t="n">
        <v>46222</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46531-2023</t>
        </is>
      </c>
      <c r="B303" t="inlineStr">
        <is>
          <t>avverkningsanmälan</t>
        </is>
      </c>
      <c r="C303" t="inlineStr">
        <is>
          <t>Föryngringsavverkning</t>
        </is>
      </c>
      <c r="D303" s="1" t="n">
        <v>45197</v>
      </c>
      <c r="E303" s="1" t="n">
        <v>46222</v>
      </c>
      <c r="F303" t="inlineStr">
        <is>
          <t>BLEKINGE LÄN</t>
        </is>
      </c>
      <c r="G303" t="inlineStr">
        <is>
          <t>OLOFSTRÖM</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47195-2021</t>
        </is>
      </c>
      <c r="B304" t="inlineStr">
        <is>
          <t>avverkningsanmälan</t>
        </is>
      </c>
      <c r="C304" t="inlineStr">
        <is>
          <t>Avverkning för annat ändamål</t>
        </is>
      </c>
      <c r="D304" s="1" t="n">
        <v>44447</v>
      </c>
      <c r="E304" s="1" t="n">
        <v>46222</v>
      </c>
      <c r="F304" t="inlineStr">
        <is>
          <t>BLEKINGE LÄN</t>
        </is>
      </c>
      <c r="G304" t="inlineStr">
        <is>
          <t>OLOFSTRÖM</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30509-2023</t>
        </is>
      </c>
      <c r="B305" t="inlineStr">
        <is>
          <t>avverkningsanmälan</t>
        </is>
      </c>
      <c r="C305" t="inlineStr">
        <is>
          <t>Föryngringsavverkning</t>
        </is>
      </c>
      <c r="D305" s="1" t="n">
        <v>45111</v>
      </c>
      <c r="E305" s="1" t="n">
        <v>46222</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49308-2022</t>
        </is>
      </c>
      <c r="B306" t="inlineStr">
        <is>
          <t>avverkningsanmälan</t>
        </is>
      </c>
      <c r="C306" t="inlineStr">
        <is>
          <t>Föryngringsavverkning</t>
        </is>
      </c>
      <c r="D306" s="1" t="n">
        <v>44858</v>
      </c>
      <c r="E306" s="1" t="n">
        <v>46222</v>
      </c>
      <c r="F306" t="inlineStr">
        <is>
          <t>BLEKINGE LÄN</t>
        </is>
      </c>
      <c r="G306" t="inlineStr">
        <is>
          <t>OLOFSTRÖM</t>
        </is>
      </c>
      <c r="I306" t="n">
        <v>3.7</v>
      </c>
      <c r="J306" t="n">
        <v>0</v>
      </c>
      <c r="K306" t="n">
        <v>0</v>
      </c>
      <c r="L306" t="n">
        <v>0</v>
      </c>
      <c r="M306" t="n">
        <v>0</v>
      </c>
      <c r="N306" t="n">
        <v>0</v>
      </c>
      <c r="O306" t="n">
        <v>0</v>
      </c>
      <c r="P306" t="n">
        <v>0</v>
      </c>
      <c r="Q306" t="n">
        <v>0</v>
      </c>
      <c r="R306" t="n">
        <v>0</v>
      </c>
      <c r="S306" t="n">
        <v>0</v>
      </c>
      <c r="T306" t="n">
        <v>0</v>
      </c>
      <c r="U306" s="2" t="inlineStr"/>
    </row>
    <row r="307" ht="15" customHeight="1">
      <c r="A307" t="inlineStr">
        <is>
          <t>A 4538-2022</t>
        </is>
      </c>
      <c r="B307" t="inlineStr">
        <is>
          <t>avverkningsanmälan</t>
        </is>
      </c>
      <c r="C307" t="inlineStr">
        <is>
          <t>Föryngringsavverkning</t>
        </is>
      </c>
      <c r="D307" s="1" t="n">
        <v>44590</v>
      </c>
      <c r="E307" s="1" t="n">
        <v>46222</v>
      </c>
      <c r="F307" t="inlineStr">
        <is>
          <t>BLEKINGE LÄN</t>
        </is>
      </c>
      <c r="G307" t="inlineStr">
        <is>
          <t>OLOFSTRÖM</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13660-2023</t>
        </is>
      </c>
      <c r="B308" t="inlineStr">
        <is>
          <t>avverkningsanmälan</t>
        </is>
      </c>
      <c r="C308" t="inlineStr">
        <is>
          <t>Föryngringsavverkning</t>
        </is>
      </c>
      <c r="D308" s="1" t="n">
        <v>45006</v>
      </c>
      <c r="E308" s="1" t="n">
        <v>46222</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73259-2021</t>
        </is>
      </c>
      <c r="B309" t="inlineStr">
        <is>
          <t>avverkningsanmälan</t>
        </is>
      </c>
      <c r="C309" t="inlineStr">
        <is>
          <t>Föryngringsavverkning</t>
        </is>
      </c>
      <c r="D309" s="1" t="n">
        <v>44550</v>
      </c>
      <c r="E309" s="1" t="n">
        <v>46222</v>
      </c>
      <c r="F309" t="inlineStr">
        <is>
          <t>BLEKINGE LÄN</t>
        </is>
      </c>
      <c r="G309" t="inlineStr">
        <is>
          <t>OLOFSTRÖM</t>
        </is>
      </c>
      <c r="I309" t="n">
        <v>3.1</v>
      </c>
      <c r="J309" t="n">
        <v>0</v>
      </c>
      <c r="K309" t="n">
        <v>0</v>
      </c>
      <c r="L309" t="n">
        <v>0</v>
      </c>
      <c r="M309" t="n">
        <v>0</v>
      </c>
      <c r="N309" t="n">
        <v>0</v>
      </c>
      <c r="O309" t="n">
        <v>0</v>
      </c>
      <c r="P309" t="n">
        <v>0</v>
      </c>
      <c r="Q309" t="n">
        <v>0</v>
      </c>
      <c r="R309" t="n">
        <v>0</v>
      </c>
      <c r="S309" t="n">
        <v>0</v>
      </c>
      <c r="T309" t="n">
        <v>0</v>
      </c>
      <c r="U309" s="2" t="inlineStr"/>
    </row>
    <row r="310" ht="15" customHeight="1">
      <c r="A310" t="inlineStr">
        <is>
          <t>A 35097-2025</t>
        </is>
      </c>
      <c r="B310" t="inlineStr">
        <is>
          <t>avverkningsanmälan</t>
        </is>
      </c>
      <c r="C310" t="inlineStr">
        <is>
          <t>Föryngringsavverkning</t>
        </is>
      </c>
      <c r="D310" s="1" t="n">
        <v>45852</v>
      </c>
      <c r="E310" s="1" t="n">
        <v>46222</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13482-2023</t>
        </is>
      </c>
      <c r="B311" t="inlineStr">
        <is>
          <t>avverkningsanmälan</t>
        </is>
      </c>
      <c r="C311" t="inlineStr">
        <is>
          <t>Föryngringsavverkning</t>
        </is>
      </c>
      <c r="D311" s="1" t="n">
        <v>45005</v>
      </c>
      <c r="E311" s="1" t="n">
        <v>46222</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63423-2023</t>
        </is>
      </c>
      <c r="B312" t="inlineStr">
        <is>
          <t>avverkningsanmälan</t>
        </is>
      </c>
      <c r="C312" t="inlineStr">
        <is>
          <t>Föryngringsavverkning</t>
        </is>
      </c>
      <c r="D312" s="1" t="n">
        <v>45274</v>
      </c>
      <c r="E312" s="1" t="n">
        <v>46222</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53605-2024</t>
        </is>
      </c>
      <c r="B313" t="inlineStr">
        <is>
          <t>avverkningsanmälan</t>
        </is>
      </c>
      <c r="C313" t="inlineStr">
        <is>
          <t>Föryngringsavverkning</t>
        </is>
      </c>
      <c r="D313" s="1" t="n">
        <v>45614</v>
      </c>
      <c r="E313" s="1" t="n">
        <v>46222</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63441-2023</t>
        </is>
      </c>
      <c r="B314" t="inlineStr">
        <is>
          <t>avverkningsanmälan</t>
        </is>
      </c>
      <c r="C314" t="inlineStr">
        <is>
          <t>Föryngringsavverkning</t>
        </is>
      </c>
      <c r="D314" s="1" t="n">
        <v>45274</v>
      </c>
      <c r="E314" s="1" t="n">
        <v>46222</v>
      </c>
      <c r="F314" t="inlineStr">
        <is>
          <t>BLEKINGE LÄN</t>
        </is>
      </c>
      <c r="G314" t="inlineStr">
        <is>
          <t>OLOFSTRÖM</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49704-2021</t>
        </is>
      </c>
      <c r="B315" t="inlineStr">
        <is>
          <t>avverkningsanmälan</t>
        </is>
      </c>
      <c r="C315" t="inlineStr">
        <is>
          <t>Föryngringsavverkning</t>
        </is>
      </c>
      <c r="D315" s="1" t="n">
        <v>44455</v>
      </c>
      <c r="E315" s="1" t="n">
        <v>46222</v>
      </c>
      <c r="F315" t="inlineStr">
        <is>
          <t>BLEKINGE LÄN</t>
        </is>
      </c>
      <c r="G315" t="inlineStr">
        <is>
          <t>OLOFSTRÖM</t>
        </is>
      </c>
      <c r="I315" t="n">
        <v>8.199999999999999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31294-2023</t>
        </is>
      </c>
      <c r="B316" t="inlineStr">
        <is>
          <t>avverkningsanmälan</t>
        </is>
      </c>
      <c r="C316" t="inlineStr">
        <is>
          <t>Föryngringsavverkning</t>
        </is>
      </c>
      <c r="D316" s="1" t="n">
        <v>45114</v>
      </c>
      <c r="E316" s="1" t="n">
        <v>46222</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28857-2023</t>
        </is>
      </c>
      <c r="B317" t="inlineStr">
        <is>
          <t>avverkningsanmälan</t>
        </is>
      </c>
      <c r="C317" t="inlineStr">
        <is>
          <t>Föryngringsavverkning</t>
        </is>
      </c>
      <c r="D317" s="1" t="n">
        <v>45104</v>
      </c>
      <c r="E317" s="1" t="n">
        <v>46222</v>
      </c>
      <c r="F317" t="inlineStr">
        <is>
          <t>BLEKINGE LÄN</t>
        </is>
      </c>
      <c r="G317" t="inlineStr">
        <is>
          <t>OLOFSTRÖM</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54015-2021</t>
        </is>
      </c>
      <c r="B318" t="inlineStr">
        <is>
          <t>avverkningsanmälan</t>
        </is>
      </c>
      <c r="C318" t="inlineStr">
        <is>
          <t>Föryngringsavverkning</t>
        </is>
      </c>
      <c r="D318" s="1" t="n">
        <v>44470</v>
      </c>
      <c r="E318" s="1" t="n">
        <v>46222</v>
      </c>
      <c r="F318" t="inlineStr">
        <is>
          <t>BLEKINGE LÄN</t>
        </is>
      </c>
      <c r="G318" t="inlineStr">
        <is>
          <t>OLOFSTRÖM</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444-2023</t>
        </is>
      </c>
      <c r="B319" t="inlineStr">
        <is>
          <t>avverkningsanmälan</t>
        </is>
      </c>
      <c r="C319" t="inlineStr">
        <is>
          <t>Föryngringsavverkning</t>
        </is>
      </c>
      <c r="D319" s="1" t="n">
        <v>44929</v>
      </c>
      <c r="E319" s="1" t="n">
        <v>46222</v>
      </c>
      <c r="F319" t="inlineStr">
        <is>
          <t>BLEKINGE LÄN</t>
        </is>
      </c>
      <c r="G319" t="inlineStr">
        <is>
          <t>OLOFSTRÖM</t>
        </is>
      </c>
      <c r="I319" t="n">
        <v>4.2</v>
      </c>
      <c r="J319" t="n">
        <v>0</v>
      </c>
      <c r="K319" t="n">
        <v>0</v>
      </c>
      <c r="L319" t="n">
        <v>0</v>
      </c>
      <c r="M319" t="n">
        <v>0</v>
      </c>
      <c r="N319" t="n">
        <v>0</v>
      </c>
      <c r="O319" t="n">
        <v>0</v>
      </c>
      <c r="P319" t="n">
        <v>0</v>
      </c>
      <c r="Q319" t="n">
        <v>0</v>
      </c>
      <c r="R319" t="n">
        <v>0</v>
      </c>
      <c r="S319" t="n">
        <v>0</v>
      </c>
      <c r="T319" t="n">
        <v>0</v>
      </c>
      <c r="U319" s="2" t="inlineStr"/>
    </row>
    <row r="320" ht="15" customHeight="1">
      <c r="A320" t="inlineStr">
        <is>
          <t>A 17017-2025</t>
        </is>
      </c>
      <c r="B320" t="inlineStr">
        <is>
          <t>avverkningsanmälan</t>
        </is>
      </c>
      <c r="C320" t="inlineStr">
        <is>
          <t>Föryngringsavverkning</t>
        </is>
      </c>
      <c r="D320" s="1" t="n">
        <v>45755</v>
      </c>
      <c r="E320" s="1" t="n">
        <v>46222</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45011-2024</t>
        </is>
      </c>
      <c r="B321" t="inlineStr">
        <is>
          <t>avverkningsanmälan</t>
        </is>
      </c>
      <c r="C321" t="inlineStr">
        <is>
          <t>Föryngringsavverkning</t>
        </is>
      </c>
      <c r="D321" s="1" t="n">
        <v>45575</v>
      </c>
      <c r="E321" s="1" t="n">
        <v>46222</v>
      </c>
      <c r="F321" t="inlineStr">
        <is>
          <t>BLEKINGE LÄN</t>
        </is>
      </c>
      <c r="G321" t="inlineStr">
        <is>
          <t>OLOFSTRÖM</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3429-2023</t>
        </is>
      </c>
      <c r="B322" t="inlineStr">
        <is>
          <t>avverkningsanmälan</t>
        </is>
      </c>
      <c r="C322" t="inlineStr">
        <is>
          <t>Föryngringsavverkning</t>
        </is>
      </c>
      <c r="D322" s="1" t="n">
        <v>44949</v>
      </c>
      <c r="E322" s="1" t="n">
        <v>46222</v>
      </c>
      <c r="F322" t="inlineStr">
        <is>
          <t>BLEKINGE LÄN</t>
        </is>
      </c>
      <c r="G322" t="inlineStr">
        <is>
          <t>OLOFSTRÖM</t>
        </is>
      </c>
      <c r="I322" t="n">
        <v>4.6</v>
      </c>
      <c r="J322" t="n">
        <v>0</v>
      </c>
      <c r="K322" t="n">
        <v>0</v>
      </c>
      <c r="L322" t="n">
        <v>0</v>
      </c>
      <c r="M322" t="n">
        <v>0</v>
      </c>
      <c r="N322" t="n">
        <v>0</v>
      </c>
      <c r="O322" t="n">
        <v>0</v>
      </c>
      <c r="P322" t="n">
        <v>0</v>
      </c>
      <c r="Q322" t="n">
        <v>0</v>
      </c>
      <c r="R322" t="n">
        <v>0</v>
      </c>
      <c r="S322" t="n">
        <v>0</v>
      </c>
      <c r="T322" t="n">
        <v>0</v>
      </c>
      <c r="U322" s="2" t="inlineStr"/>
    </row>
    <row r="323" ht="15" customHeight="1">
      <c r="A323" t="inlineStr">
        <is>
          <t>A 16318-2024</t>
        </is>
      </c>
      <c r="B323" t="inlineStr">
        <is>
          <t>avverkningsanmälan</t>
        </is>
      </c>
      <c r="C323" t="inlineStr">
        <is>
          <t>Föryngringsavverkning</t>
        </is>
      </c>
      <c r="D323" s="1" t="n">
        <v>45407</v>
      </c>
      <c r="E323" s="1" t="n">
        <v>46222</v>
      </c>
      <c r="F323" t="inlineStr">
        <is>
          <t>BLEKINGE LÄN</t>
        </is>
      </c>
      <c r="G323" t="inlineStr">
        <is>
          <t>OLOFSTRÖM</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14437-2023</t>
        </is>
      </c>
      <c r="B324" t="inlineStr">
        <is>
          <t>avverkningsanmälan</t>
        </is>
      </c>
      <c r="C324" t="inlineStr">
        <is>
          <t>Föryngringsavverkning</t>
        </is>
      </c>
      <c r="D324" s="1" t="n">
        <v>45012</v>
      </c>
      <c r="E324" s="1" t="n">
        <v>46222</v>
      </c>
      <c r="F324" t="inlineStr">
        <is>
          <t>BLEKINGE LÄN</t>
        </is>
      </c>
      <c r="G324" t="inlineStr">
        <is>
          <t>OLOFSTRÖM</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23911-2023</t>
        </is>
      </c>
      <c r="B325" t="inlineStr">
        <is>
          <t>avverkningsanmälan</t>
        </is>
      </c>
      <c r="C325" t="inlineStr">
        <is>
          <t>Föryngringsavverkning</t>
        </is>
      </c>
      <c r="D325" s="1" t="n">
        <v>45078</v>
      </c>
      <c r="E325" s="1" t="n">
        <v>46222</v>
      </c>
      <c r="F325" t="inlineStr">
        <is>
          <t>BLEKINGE LÄN</t>
        </is>
      </c>
      <c r="G325" t="inlineStr">
        <is>
          <t>OLOFSTRÖM</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24320-2026</t>
        </is>
      </c>
      <c r="B326" t="inlineStr">
        <is>
          <t>avverkningsanmälan</t>
        </is>
      </c>
      <c r="C326" t="inlineStr">
        <is>
          <t>Föryngringsavverkning</t>
        </is>
      </c>
      <c r="D326" s="1" t="n">
        <v>46169</v>
      </c>
      <c r="E326" s="1" t="n">
        <v>46222</v>
      </c>
      <c r="F326" t="inlineStr">
        <is>
          <t>BLEKINGE LÄN</t>
        </is>
      </c>
      <c r="G326" t="inlineStr">
        <is>
          <t>OLOFSTRÖM</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32899-2024</t>
        </is>
      </c>
      <c r="B327" t="inlineStr">
        <is>
          <t>avverkningsanmälan</t>
        </is>
      </c>
      <c r="C327" t="inlineStr">
        <is>
          <t>Föryngringsavverkning</t>
        </is>
      </c>
      <c r="D327" s="1" t="n">
        <v>45516</v>
      </c>
      <c r="E327" s="1" t="n">
        <v>46222</v>
      </c>
      <c r="F327" t="inlineStr">
        <is>
          <t>BLEKINGE LÄN</t>
        </is>
      </c>
      <c r="G327" t="inlineStr">
        <is>
          <t>OLOFSTRÖM</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38005-2024</t>
        </is>
      </c>
      <c r="B328" t="inlineStr">
        <is>
          <t>avverkningsanmälan</t>
        </is>
      </c>
      <c r="C328" t="inlineStr">
        <is>
          <t>Föryngringsavverkning</t>
        </is>
      </c>
      <c r="D328" s="1" t="n">
        <v>45544</v>
      </c>
      <c r="E328" s="1" t="n">
        <v>46222</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15384-2023</t>
        </is>
      </c>
      <c r="B329" t="inlineStr">
        <is>
          <t>avverkningsanmälan</t>
        </is>
      </c>
      <c r="C329" t="inlineStr">
        <is>
          <t>Föryngringsavverkning</t>
        </is>
      </c>
      <c r="D329" s="1" t="n">
        <v>45019</v>
      </c>
      <c r="E329" s="1" t="n">
        <v>46222</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37558-2022</t>
        </is>
      </c>
      <c r="B330" t="inlineStr">
        <is>
          <t>avverkningsanmälan</t>
        </is>
      </c>
      <c r="C330" t="inlineStr">
        <is>
          <t>Föryngringsavverkning</t>
        </is>
      </c>
      <c r="D330" s="1" t="n">
        <v>44809</v>
      </c>
      <c r="E330" s="1" t="n">
        <v>46222</v>
      </c>
      <c r="F330" t="inlineStr">
        <is>
          <t>BLEKINGE LÄN</t>
        </is>
      </c>
      <c r="G330" t="inlineStr">
        <is>
          <t>OLOFSTRÖM</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38439-2023</t>
        </is>
      </c>
      <c r="B331" t="inlineStr">
        <is>
          <t>avverkningsanmälan</t>
        </is>
      </c>
      <c r="C331" t="inlineStr">
        <is>
          <t>Föryngringsavverkning</t>
        </is>
      </c>
      <c r="D331" s="1" t="n">
        <v>45162</v>
      </c>
      <c r="E331" s="1" t="n">
        <v>46222</v>
      </c>
      <c r="F331" t="inlineStr">
        <is>
          <t>BLEKINGE LÄN</t>
        </is>
      </c>
      <c r="G331" t="inlineStr">
        <is>
          <t>OLOFSTRÖM</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11062-2025</t>
        </is>
      </c>
      <c r="B332" t="inlineStr">
        <is>
          <t>avverkningsanmälan</t>
        </is>
      </c>
      <c r="C332" t="inlineStr">
        <is>
          <t>Föryngringsavverkning</t>
        </is>
      </c>
      <c r="D332" s="1" t="n">
        <v>45723</v>
      </c>
      <c r="E332" s="1" t="n">
        <v>46222</v>
      </c>
      <c r="F332" t="inlineStr">
        <is>
          <t>BLEKINGE LÄN</t>
        </is>
      </c>
      <c r="G332" t="inlineStr">
        <is>
          <t>OLOFSTRÖM</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56072-2023</t>
        </is>
      </c>
      <c r="B333" t="inlineStr">
        <is>
          <t>avverkningsanmälan</t>
        </is>
      </c>
      <c r="C333" t="inlineStr">
        <is>
          <t>Föryngringsavverkning</t>
        </is>
      </c>
      <c r="D333" s="1" t="n">
        <v>45233</v>
      </c>
      <c r="E333" s="1" t="n">
        <v>46222</v>
      </c>
      <c r="F333" t="inlineStr">
        <is>
          <t>BLEKINGE LÄN</t>
        </is>
      </c>
      <c r="G333" t="inlineStr">
        <is>
          <t>OLOFSTRÖM</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34747-2023</t>
        </is>
      </c>
      <c r="B334" t="inlineStr">
        <is>
          <t>avverkningsanmälan</t>
        </is>
      </c>
      <c r="C334" t="inlineStr">
        <is>
          <t>Föryngringsavverkning</t>
        </is>
      </c>
      <c r="D334" s="1" t="n">
        <v>45141</v>
      </c>
      <c r="E334" s="1" t="n">
        <v>46222</v>
      </c>
      <c r="F334" t="inlineStr">
        <is>
          <t>BLEKINGE LÄN</t>
        </is>
      </c>
      <c r="G334" t="inlineStr">
        <is>
          <t>OLOFSTRÖM</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52208-2024</t>
        </is>
      </c>
      <c r="B335" t="inlineStr">
        <is>
          <t>avverkningsanmälan</t>
        </is>
      </c>
      <c r="C335" t="inlineStr">
        <is>
          <t>Föryngringsavverkning</t>
        </is>
      </c>
      <c r="D335" s="1" t="n">
        <v>45608</v>
      </c>
      <c r="E335" s="1" t="n">
        <v>46222</v>
      </c>
      <c r="F335" t="inlineStr">
        <is>
          <t>BLEKINGE LÄN</t>
        </is>
      </c>
      <c r="G335" t="inlineStr">
        <is>
          <t>OLOFSTRÖM</t>
        </is>
      </c>
      <c r="I335" t="n">
        <v>7.4</v>
      </c>
      <c r="J335" t="n">
        <v>0</v>
      </c>
      <c r="K335" t="n">
        <v>0</v>
      </c>
      <c r="L335" t="n">
        <v>0</v>
      </c>
      <c r="M335" t="n">
        <v>0</v>
      </c>
      <c r="N335" t="n">
        <v>0</v>
      </c>
      <c r="O335" t="n">
        <v>0</v>
      </c>
      <c r="P335" t="n">
        <v>0</v>
      </c>
      <c r="Q335" t="n">
        <v>0</v>
      </c>
      <c r="R335" t="n">
        <v>0</v>
      </c>
      <c r="S335" t="n">
        <v>0</v>
      </c>
      <c r="T335" t="n">
        <v>0</v>
      </c>
      <c r="U335" s="2" t="inlineStr"/>
    </row>
    <row r="336" ht="15" customHeight="1">
      <c r="A336" t="inlineStr">
        <is>
          <t>A 69498-2021</t>
        </is>
      </c>
      <c r="B336" t="inlineStr">
        <is>
          <t>avverkningsanmälan</t>
        </is>
      </c>
      <c r="C336" t="inlineStr">
        <is>
          <t>Föryngringsavverkning</t>
        </is>
      </c>
      <c r="D336" s="1" t="n">
        <v>44531</v>
      </c>
      <c r="E336" s="1" t="n">
        <v>46222</v>
      </c>
      <c r="F336" t="inlineStr">
        <is>
          <t>BLEKINGE LÄN</t>
        </is>
      </c>
      <c r="G336" t="inlineStr">
        <is>
          <t>OLOFSTRÖM</t>
        </is>
      </c>
      <c r="H336" t="inlineStr">
        <is>
          <t>Kommuner</t>
        </is>
      </c>
      <c r="I336" t="n">
        <v>6.9</v>
      </c>
      <c r="J336" t="n">
        <v>0</v>
      </c>
      <c r="K336" t="n">
        <v>0</v>
      </c>
      <c r="L336" t="n">
        <v>0</v>
      </c>
      <c r="M336" t="n">
        <v>0</v>
      </c>
      <c r="N336" t="n">
        <v>0</v>
      </c>
      <c r="O336" t="n">
        <v>0</v>
      </c>
      <c r="P336" t="n">
        <v>0</v>
      </c>
      <c r="Q336" t="n">
        <v>0</v>
      </c>
      <c r="R336" t="n">
        <v>0</v>
      </c>
      <c r="S336" t="n">
        <v>0</v>
      </c>
      <c r="T336" t="n">
        <v>0</v>
      </c>
      <c r="U336" s="2" t="inlineStr"/>
    </row>
    <row r="337" ht="15" customHeight="1">
      <c r="A337" t="inlineStr">
        <is>
          <t>A 56078-2023</t>
        </is>
      </c>
      <c r="B337" t="inlineStr">
        <is>
          <t>avverkningsanmälan</t>
        </is>
      </c>
      <c r="C337" t="inlineStr">
        <is>
          <t>Föryngringsavverkning</t>
        </is>
      </c>
      <c r="D337" s="1" t="n">
        <v>45233</v>
      </c>
      <c r="E337" s="1" t="n">
        <v>46222</v>
      </c>
      <c r="F337" t="inlineStr">
        <is>
          <t>BLEKINGE LÄN</t>
        </is>
      </c>
      <c r="G337" t="inlineStr">
        <is>
          <t>OLOFSTRÖM</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6439-2025</t>
        </is>
      </c>
      <c r="B338" t="inlineStr">
        <is>
          <t>avverkningsanmälan</t>
        </is>
      </c>
      <c r="C338" t="inlineStr">
        <is>
          <t>Föryngringsavverkning</t>
        </is>
      </c>
      <c r="D338" s="1" t="n">
        <v>45699</v>
      </c>
      <c r="E338" s="1" t="n">
        <v>46222</v>
      </c>
      <c r="F338" t="inlineStr">
        <is>
          <t>BLEKINGE LÄN</t>
        </is>
      </c>
      <c r="G338" t="inlineStr">
        <is>
          <t>OLOFSTRÖM</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62246-2022</t>
        </is>
      </c>
      <c r="B339" t="inlineStr">
        <is>
          <t>avverkningsanmälan</t>
        </is>
      </c>
      <c r="C339" t="inlineStr">
        <is>
          <t>Föryngringsavverkning</t>
        </is>
      </c>
      <c r="D339" s="1" t="n">
        <v>44922</v>
      </c>
      <c r="E339" s="1" t="n">
        <v>46222</v>
      </c>
      <c r="F339" t="inlineStr">
        <is>
          <t>BLEKINGE LÄN</t>
        </is>
      </c>
      <c r="G339" t="inlineStr">
        <is>
          <t>OLOFSTRÖM</t>
        </is>
      </c>
      <c r="I339" t="n">
        <v>4.5</v>
      </c>
      <c r="J339" t="n">
        <v>0</v>
      </c>
      <c r="K339" t="n">
        <v>0</v>
      </c>
      <c r="L339" t="n">
        <v>0</v>
      </c>
      <c r="M339" t="n">
        <v>0</v>
      </c>
      <c r="N339" t="n">
        <v>0</v>
      </c>
      <c r="O339" t="n">
        <v>0</v>
      </c>
      <c r="P339" t="n">
        <v>0</v>
      </c>
      <c r="Q339" t="n">
        <v>0</v>
      </c>
      <c r="R339" t="n">
        <v>0</v>
      </c>
      <c r="S339" t="n">
        <v>0</v>
      </c>
      <c r="T339" t="n">
        <v>0</v>
      </c>
      <c r="U339" s="2" t="inlineStr"/>
    </row>
    <row r="340" ht="15" customHeight="1">
      <c r="A340" t="inlineStr">
        <is>
          <t>A 13765-2026</t>
        </is>
      </c>
      <c r="B340" t="inlineStr">
        <is>
          <t>avverkningsanmälan</t>
        </is>
      </c>
      <c r="C340" t="inlineStr">
        <is>
          <t>Föryngringsavverkning</t>
        </is>
      </c>
      <c r="D340" s="1" t="n">
        <v>46097</v>
      </c>
      <c r="E340" s="1" t="n">
        <v>46222</v>
      </c>
      <c r="F340" t="inlineStr">
        <is>
          <t>BLEKINGE LÄN</t>
        </is>
      </c>
      <c r="G340" t="inlineStr">
        <is>
          <t>OLOFSTRÖM</t>
        </is>
      </c>
      <c r="H340" t="inlineStr">
        <is>
          <t>Övriga Aktiebolag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51460-2023</t>
        </is>
      </c>
      <c r="B341" t="inlineStr">
        <is>
          <t>avverkningsanmälan</t>
        </is>
      </c>
      <c r="C341" t="inlineStr">
        <is>
          <t>Föryngringsavverkning</t>
        </is>
      </c>
      <c r="D341" s="1" t="n">
        <v>45221</v>
      </c>
      <c r="E341" s="1" t="n">
        <v>46222</v>
      </c>
      <c r="F341" t="inlineStr">
        <is>
          <t>BLEKINGE LÄN</t>
        </is>
      </c>
      <c r="G341" t="inlineStr">
        <is>
          <t>OLOFSTRÖM</t>
        </is>
      </c>
      <c r="I341" t="n">
        <v>5.8</v>
      </c>
      <c r="J341" t="n">
        <v>0</v>
      </c>
      <c r="K341" t="n">
        <v>0</v>
      </c>
      <c r="L341" t="n">
        <v>0</v>
      </c>
      <c r="M341" t="n">
        <v>0</v>
      </c>
      <c r="N341" t="n">
        <v>0</v>
      </c>
      <c r="O341" t="n">
        <v>0</v>
      </c>
      <c r="P341" t="n">
        <v>0</v>
      </c>
      <c r="Q341" t="n">
        <v>0</v>
      </c>
      <c r="R341" t="n">
        <v>0</v>
      </c>
      <c r="S341" t="n">
        <v>0</v>
      </c>
      <c r="T341" t="n">
        <v>0</v>
      </c>
      <c r="U341" s="2" t="inlineStr"/>
    </row>
    <row r="342" ht="15" customHeight="1">
      <c r="A342" t="inlineStr">
        <is>
          <t>A 50412-2022</t>
        </is>
      </c>
      <c r="B342" t="inlineStr">
        <is>
          <t>avverkningsanmälan</t>
        </is>
      </c>
      <c r="C342" t="inlineStr">
        <is>
          <t>Föryngringsavverkning</t>
        </is>
      </c>
      <c r="D342" s="1" t="n">
        <v>44866</v>
      </c>
      <c r="E342" s="1" t="n">
        <v>46222</v>
      </c>
      <c r="F342" t="inlineStr">
        <is>
          <t>BLEKINGE LÄN</t>
        </is>
      </c>
      <c r="G342" t="inlineStr">
        <is>
          <t>OLOFSTRÖM</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6316-2023</t>
        </is>
      </c>
      <c r="B343" t="inlineStr">
        <is>
          <t>avverkningsanmälan</t>
        </is>
      </c>
      <c r="C343" t="inlineStr">
        <is>
          <t>Föryngringsavverkning</t>
        </is>
      </c>
      <c r="D343" s="1" t="n">
        <v>44965</v>
      </c>
      <c r="E343" s="1" t="n">
        <v>46222</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6318-2023</t>
        </is>
      </c>
      <c r="B344" t="inlineStr">
        <is>
          <t>avverkningsanmälan</t>
        </is>
      </c>
      <c r="C344" t="inlineStr">
        <is>
          <t>Föryngringsavverkning</t>
        </is>
      </c>
      <c r="D344" s="1" t="n">
        <v>44965</v>
      </c>
      <c r="E344" s="1" t="n">
        <v>46222</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62919-2023</t>
        </is>
      </c>
      <c r="B345" t="inlineStr">
        <is>
          <t>avverkningsanmälan</t>
        </is>
      </c>
      <c r="C345" t="inlineStr">
        <is>
          <t>Föryngringsavverkning</t>
        </is>
      </c>
      <c r="D345" s="1" t="n">
        <v>45271</v>
      </c>
      <c r="E345" s="1" t="n">
        <v>46222</v>
      </c>
      <c r="F345" t="inlineStr">
        <is>
          <t>BLEKINGE LÄN</t>
        </is>
      </c>
      <c r="G345" t="inlineStr">
        <is>
          <t>OLOFSTRÖM</t>
        </is>
      </c>
      <c r="I345" t="n">
        <v>5.8</v>
      </c>
      <c r="J345" t="n">
        <v>0</v>
      </c>
      <c r="K345" t="n">
        <v>0</v>
      </c>
      <c r="L345" t="n">
        <v>0</v>
      </c>
      <c r="M345" t="n">
        <v>0</v>
      </c>
      <c r="N345" t="n">
        <v>0</v>
      </c>
      <c r="O345" t="n">
        <v>0</v>
      </c>
      <c r="P345" t="n">
        <v>0</v>
      </c>
      <c r="Q345" t="n">
        <v>0</v>
      </c>
      <c r="R345" t="n">
        <v>0</v>
      </c>
      <c r="S345" t="n">
        <v>0</v>
      </c>
      <c r="T345" t="n">
        <v>0</v>
      </c>
      <c r="U345" s="2" t="inlineStr"/>
    </row>
    <row r="346" ht="15" customHeight="1">
      <c r="A346" t="inlineStr">
        <is>
          <t>A 43287-2023</t>
        </is>
      </c>
      <c r="B346" t="inlineStr">
        <is>
          <t>avverkningsanmälan</t>
        </is>
      </c>
      <c r="C346" t="inlineStr">
        <is>
          <t>Föryngringsavverkning</t>
        </is>
      </c>
      <c r="D346" s="1" t="n">
        <v>45183</v>
      </c>
      <c r="E346" s="1" t="n">
        <v>46222</v>
      </c>
      <c r="F346" t="inlineStr">
        <is>
          <t>BLEKINGE LÄN</t>
        </is>
      </c>
      <c r="G346" t="inlineStr">
        <is>
          <t>OLOFSTRÖM</t>
        </is>
      </c>
      <c r="I346" t="n">
        <v>5.6</v>
      </c>
      <c r="J346" t="n">
        <v>0</v>
      </c>
      <c r="K346" t="n">
        <v>0</v>
      </c>
      <c r="L346" t="n">
        <v>0</v>
      </c>
      <c r="M346" t="n">
        <v>0</v>
      </c>
      <c r="N346" t="n">
        <v>0</v>
      </c>
      <c r="O346" t="n">
        <v>0</v>
      </c>
      <c r="P346" t="n">
        <v>0</v>
      </c>
      <c r="Q346" t="n">
        <v>0</v>
      </c>
      <c r="R346" t="n">
        <v>0</v>
      </c>
      <c r="S346" t="n">
        <v>0</v>
      </c>
      <c r="T346" t="n">
        <v>0</v>
      </c>
      <c r="U346" s="2" t="inlineStr"/>
    </row>
    <row r="347" ht="15" customHeight="1">
      <c r="A347" t="inlineStr">
        <is>
          <t>A 62672-2023</t>
        </is>
      </c>
      <c r="B347" t="inlineStr">
        <is>
          <t>avverkningsanmälan</t>
        </is>
      </c>
      <c r="C347" t="inlineStr">
        <is>
          <t>Föryngringsavverkning</t>
        </is>
      </c>
      <c r="D347" s="1" t="n">
        <v>45271</v>
      </c>
      <c r="E347" s="1" t="n">
        <v>46222</v>
      </c>
      <c r="F347" t="inlineStr">
        <is>
          <t>BLEKINGE LÄN</t>
        </is>
      </c>
      <c r="G347" t="inlineStr">
        <is>
          <t>OLOFSTRÖM</t>
        </is>
      </c>
      <c r="I347" t="n">
        <v>8.199999999999999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62744-2023</t>
        </is>
      </c>
      <c r="B348" t="inlineStr">
        <is>
          <t>avverkningsanmälan</t>
        </is>
      </c>
      <c r="C348" t="inlineStr">
        <is>
          <t>Föryngringsavverkning</t>
        </is>
      </c>
      <c r="D348" s="1" t="n">
        <v>45268</v>
      </c>
      <c r="E348" s="1" t="n">
        <v>46222</v>
      </c>
      <c r="F348" t="inlineStr">
        <is>
          <t>BLEKINGE LÄN</t>
        </is>
      </c>
      <c r="G348" t="inlineStr">
        <is>
          <t>OLOFSTRÖM</t>
        </is>
      </c>
      <c r="H348" t="inlineStr">
        <is>
          <t>Övriga Aktiebolag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33577-2022</t>
        </is>
      </c>
      <c r="B349" t="inlineStr">
        <is>
          <t>avverkningsanmälan</t>
        </is>
      </c>
      <c r="C349" t="inlineStr">
        <is>
          <t>Föryngringsavverkning</t>
        </is>
      </c>
      <c r="D349" s="1" t="n">
        <v>44789</v>
      </c>
      <c r="E349" s="1" t="n">
        <v>46222</v>
      </c>
      <c r="F349" t="inlineStr">
        <is>
          <t>BLEKINGE LÄN</t>
        </is>
      </c>
      <c r="G349" t="inlineStr">
        <is>
          <t>OLOFSTRÖM</t>
        </is>
      </c>
      <c r="I349" t="n">
        <v>7.3</v>
      </c>
      <c r="J349" t="n">
        <v>0</v>
      </c>
      <c r="K349" t="n">
        <v>0</v>
      </c>
      <c r="L349" t="n">
        <v>0</v>
      </c>
      <c r="M349" t="n">
        <v>0</v>
      </c>
      <c r="N349" t="n">
        <v>0</v>
      </c>
      <c r="O349" t="n">
        <v>0</v>
      </c>
      <c r="P349" t="n">
        <v>0</v>
      </c>
      <c r="Q349" t="n">
        <v>0</v>
      </c>
      <c r="R349" t="n">
        <v>0</v>
      </c>
      <c r="S349" t="n">
        <v>0</v>
      </c>
      <c r="T349" t="n">
        <v>0</v>
      </c>
      <c r="U349" s="2" t="inlineStr"/>
    </row>
    <row r="350" ht="15" customHeight="1">
      <c r="A350" t="inlineStr">
        <is>
          <t>A 63384-2023</t>
        </is>
      </c>
      <c r="B350" t="inlineStr">
        <is>
          <t>avverkningsanmälan</t>
        </is>
      </c>
      <c r="C350" t="inlineStr">
        <is>
          <t>Föryngringsavverkning</t>
        </is>
      </c>
      <c r="D350" s="1" t="n">
        <v>45274</v>
      </c>
      <c r="E350" s="1" t="n">
        <v>46222</v>
      </c>
      <c r="F350" t="inlineStr">
        <is>
          <t>BLEKINGE LÄN</t>
        </is>
      </c>
      <c r="G350" t="inlineStr">
        <is>
          <t>OLOFSTRÖM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43814-2024</t>
        </is>
      </c>
      <c r="B351" t="inlineStr">
        <is>
          <t>avverkningsanmälan</t>
        </is>
      </c>
      <c r="C351" t="inlineStr">
        <is>
          <t>Föryngringsavverkning</t>
        </is>
      </c>
      <c r="D351" s="1" t="n">
        <v>45571</v>
      </c>
      <c r="E351" s="1" t="n">
        <v>46222</v>
      </c>
      <c r="F351" t="inlineStr">
        <is>
          <t>BLEKINGE LÄN</t>
        </is>
      </c>
      <c r="G351" t="inlineStr">
        <is>
          <t>OLOFSTRÖM</t>
        </is>
      </c>
      <c r="H351" t="inlineStr">
        <is>
          <t>Sveaskog</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38956-2023</t>
        </is>
      </c>
      <c r="B352" t="inlineStr">
        <is>
          <t>avverkningsanmälan</t>
        </is>
      </c>
      <c r="C352" t="inlineStr">
        <is>
          <t>Föryngringsavverkning</t>
        </is>
      </c>
      <c r="D352" s="1" t="n">
        <v>45163</v>
      </c>
      <c r="E352" s="1" t="n">
        <v>46222</v>
      </c>
      <c r="F352" t="inlineStr">
        <is>
          <t>BLEKINGE LÄN</t>
        </is>
      </c>
      <c r="G352" t="inlineStr">
        <is>
          <t>OLOFSTRÖM</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48004-2023</t>
        </is>
      </c>
      <c r="B353" t="inlineStr">
        <is>
          <t>avverkningsanmälan</t>
        </is>
      </c>
      <c r="C353" t="inlineStr">
        <is>
          <t>Föryngringsavverkning</t>
        </is>
      </c>
      <c r="D353" s="1" t="n">
        <v>45204</v>
      </c>
      <c r="E353" s="1" t="n">
        <v>46222</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48005-2023</t>
        </is>
      </c>
      <c r="B354" t="inlineStr">
        <is>
          <t>avverkningsanmälan</t>
        </is>
      </c>
      <c r="C354" t="inlineStr">
        <is>
          <t>Föryngringsavverkning</t>
        </is>
      </c>
      <c r="D354" s="1" t="n">
        <v>45204</v>
      </c>
      <c r="E354" s="1" t="n">
        <v>46222</v>
      </c>
      <c r="F354" t="inlineStr">
        <is>
          <t>BLEKINGE LÄN</t>
        </is>
      </c>
      <c r="G354" t="inlineStr">
        <is>
          <t>OLOFSTRÖM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45772-2023</t>
        </is>
      </c>
      <c r="B355" t="inlineStr">
        <is>
          <t>avverkningsanmälan</t>
        </is>
      </c>
      <c r="C355" t="inlineStr">
        <is>
          <t>Föryngringsavverkning</t>
        </is>
      </c>
      <c r="D355" s="1" t="n">
        <v>45195</v>
      </c>
      <c r="E355" s="1" t="n">
        <v>46222</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51284-2024</t>
        </is>
      </c>
      <c r="B356" t="inlineStr">
        <is>
          <t>avverkningsanmälan</t>
        </is>
      </c>
      <c r="C356" t="inlineStr">
        <is>
          <t>Föryngringsavverkning</t>
        </is>
      </c>
      <c r="D356" s="1" t="n">
        <v>45603</v>
      </c>
      <c r="E356" s="1" t="n">
        <v>46222</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17532-2023</t>
        </is>
      </c>
      <c r="B357" t="inlineStr">
        <is>
          <t>avverkningsanmälan</t>
        </is>
      </c>
      <c r="C357" t="inlineStr">
        <is>
          <t>Föryngringsavverkning</t>
        </is>
      </c>
      <c r="D357" s="1" t="n">
        <v>45036</v>
      </c>
      <c r="E357" s="1" t="n">
        <v>46222</v>
      </c>
      <c r="F357" t="inlineStr">
        <is>
          <t>BLEKINGE LÄN</t>
        </is>
      </c>
      <c r="G357" t="inlineStr">
        <is>
          <t>OLOFSTRÖM</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7862-2025</t>
        </is>
      </c>
      <c r="B358" t="inlineStr">
        <is>
          <t>avverkningsanmälan</t>
        </is>
      </c>
      <c r="C358" t="inlineStr">
        <is>
          <t>Föryngringsavverkning</t>
        </is>
      </c>
      <c r="D358" s="1" t="n">
        <v>45706</v>
      </c>
      <c r="E358" s="1" t="n">
        <v>46222</v>
      </c>
      <c r="F358" t="inlineStr">
        <is>
          <t>BLEKINGE LÄN</t>
        </is>
      </c>
      <c r="G358" t="inlineStr">
        <is>
          <t>OLOFSTRÖM</t>
        </is>
      </c>
      <c r="I358" t="n">
        <v>5.8</v>
      </c>
      <c r="J358" t="n">
        <v>0</v>
      </c>
      <c r="K358" t="n">
        <v>0</v>
      </c>
      <c r="L358" t="n">
        <v>0</v>
      </c>
      <c r="M358" t="n">
        <v>0</v>
      </c>
      <c r="N358" t="n">
        <v>0</v>
      </c>
      <c r="O358" t="n">
        <v>0</v>
      </c>
      <c r="P358" t="n">
        <v>0</v>
      </c>
      <c r="Q358" t="n">
        <v>0</v>
      </c>
      <c r="R358" t="n">
        <v>0</v>
      </c>
      <c r="S358" t="n">
        <v>0</v>
      </c>
      <c r="T358" t="n">
        <v>0</v>
      </c>
      <c r="U358" s="2" t="inlineStr"/>
    </row>
    <row r="359" ht="15" customHeight="1">
      <c r="A359" t="inlineStr">
        <is>
          <t>A 70538-2021</t>
        </is>
      </c>
      <c r="B359" t="inlineStr">
        <is>
          <t>avverkningsanmälan</t>
        </is>
      </c>
      <c r="C359" t="inlineStr">
        <is>
          <t>Föryngringsavverkning</t>
        </is>
      </c>
      <c r="D359" s="1" t="n">
        <v>44536</v>
      </c>
      <c r="E359" s="1" t="n">
        <v>46222</v>
      </c>
      <c r="F359" t="inlineStr">
        <is>
          <t>BLEKINGE LÄN</t>
        </is>
      </c>
      <c r="G359" t="inlineStr">
        <is>
          <t>OLOFSTRÖM</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63450-2023</t>
        </is>
      </c>
      <c r="B360" t="inlineStr">
        <is>
          <t>avverkningsanmälan</t>
        </is>
      </c>
      <c r="C360" t="inlineStr">
        <is>
          <t>Föryngringsavverkning</t>
        </is>
      </c>
      <c r="D360" s="1" t="n">
        <v>45274</v>
      </c>
      <c r="E360" s="1" t="n">
        <v>46222</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5805-2025</t>
        </is>
      </c>
      <c r="B361" t="inlineStr">
        <is>
          <t>avverkningsanmälan</t>
        </is>
      </c>
      <c r="C361" t="inlineStr">
        <is>
          <t>Föryngringsavverkning</t>
        </is>
      </c>
      <c r="D361" s="1" t="n">
        <v>45694</v>
      </c>
      <c r="E361" s="1" t="n">
        <v>46222</v>
      </c>
      <c r="F361" t="inlineStr">
        <is>
          <t>BLEKINGE LÄN</t>
        </is>
      </c>
      <c r="G361" t="inlineStr">
        <is>
          <t>OLOFSTRÖM</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46920-2024</t>
        </is>
      </c>
      <c r="B362" t="inlineStr">
        <is>
          <t>avverkningsanmälan</t>
        </is>
      </c>
      <c r="C362" t="inlineStr">
        <is>
          <t>Föryngringsavverkning</t>
        </is>
      </c>
      <c r="D362" s="1" t="n">
        <v>45583</v>
      </c>
      <c r="E362" s="1" t="n">
        <v>46222</v>
      </c>
      <c r="F362" t="inlineStr">
        <is>
          <t>BLEKINGE LÄN</t>
        </is>
      </c>
      <c r="G362" t="inlineStr">
        <is>
          <t>OLOFSTRÖM</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6270-2025</t>
        </is>
      </c>
      <c r="B363" t="inlineStr">
        <is>
          <t>avverkningsanmälan</t>
        </is>
      </c>
      <c r="C363" t="inlineStr">
        <is>
          <t>Föryngringsavverkning</t>
        </is>
      </c>
      <c r="D363" s="1" t="n">
        <v>45698</v>
      </c>
      <c r="E363" s="1" t="n">
        <v>46222</v>
      </c>
      <c r="F363" t="inlineStr">
        <is>
          <t>BLEKINGE LÄN</t>
        </is>
      </c>
      <c r="G363" t="inlineStr">
        <is>
          <t>OLOFSTRÖM</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12788-2025</t>
        </is>
      </c>
      <c r="B364" t="inlineStr">
        <is>
          <t>avverkningsanmälan</t>
        </is>
      </c>
      <c r="C364" t="inlineStr">
        <is>
          <t>Föryngringsavverkning</t>
        </is>
      </c>
      <c r="D364" s="1" t="n">
        <v>45733</v>
      </c>
      <c r="E364" s="1" t="n">
        <v>46222</v>
      </c>
      <c r="F364" t="inlineStr">
        <is>
          <t>BLEKINGE LÄN</t>
        </is>
      </c>
      <c r="G364" t="inlineStr">
        <is>
          <t>OLOFSTRÖM</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11305-2025</t>
        </is>
      </c>
      <c r="B365" t="inlineStr">
        <is>
          <t>avverkningsanmälan</t>
        </is>
      </c>
      <c r="C365" t="inlineStr">
        <is>
          <t>Föryngringsavverkning</t>
        </is>
      </c>
      <c r="D365" s="1" t="n">
        <v>45726</v>
      </c>
      <c r="E365" s="1" t="n">
        <v>46222</v>
      </c>
      <c r="F365" t="inlineStr">
        <is>
          <t>BLEKINGE LÄN</t>
        </is>
      </c>
      <c r="G365" t="inlineStr">
        <is>
          <t>OLOFSTRÖM</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6442-2024</t>
        </is>
      </c>
      <c r="B366" t="inlineStr">
        <is>
          <t>avverkningsanmälan</t>
        </is>
      </c>
      <c r="C366" t="inlineStr">
        <is>
          <t>Föryngringsavverkning</t>
        </is>
      </c>
      <c r="D366" s="1" t="n">
        <v>45338</v>
      </c>
      <c r="E366" s="1" t="n">
        <v>46222</v>
      </c>
      <c r="F366" t="inlineStr">
        <is>
          <t>BLEKINGE LÄN</t>
        </is>
      </c>
      <c r="G366" t="inlineStr">
        <is>
          <t>OLOFSTRÖM</t>
        </is>
      </c>
      <c r="H366" t="inlineStr">
        <is>
          <t>Övriga Aktiebolag</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24253-2025</t>
        </is>
      </c>
      <c r="B367" t="inlineStr">
        <is>
          <t>avverkningsanmälan</t>
        </is>
      </c>
      <c r="C367" t="inlineStr">
        <is>
          <t>Föryngringsavverkning</t>
        </is>
      </c>
      <c r="D367" s="1" t="n">
        <v>45796</v>
      </c>
      <c r="E367" s="1" t="n">
        <v>46222</v>
      </c>
      <c r="F367" t="inlineStr">
        <is>
          <t>BLEKINGE LÄN</t>
        </is>
      </c>
      <c r="G367" t="inlineStr">
        <is>
          <t>OLOFSTRÖM</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6253-2025</t>
        </is>
      </c>
      <c r="B368" t="inlineStr">
        <is>
          <t>avverkningsanmälan</t>
        </is>
      </c>
      <c r="C368" t="inlineStr">
        <is>
          <t>Föryngringsavverkning</t>
        </is>
      </c>
      <c r="D368" s="1" t="n">
        <v>45698</v>
      </c>
      <c r="E368" s="1" t="n">
        <v>46222</v>
      </c>
      <c r="F368" t="inlineStr">
        <is>
          <t>BLEKINGE LÄN</t>
        </is>
      </c>
      <c r="G368" t="inlineStr">
        <is>
          <t>OLOFSTRÖM</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12796-2025</t>
        </is>
      </c>
      <c r="B369" t="inlineStr">
        <is>
          <t>avverkningsanmälan</t>
        </is>
      </c>
      <c r="C369" t="inlineStr">
        <is>
          <t>Föryngringsavverkning</t>
        </is>
      </c>
      <c r="D369" s="1" t="n">
        <v>45733</v>
      </c>
      <c r="E369" s="1" t="n">
        <v>46222</v>
      </c>
      <c r="F369" t="inlineStr">
        <is>
          <t>BLEKINGE LÄN</t>
        </is>
      </c>
      <c r="G369" t="inlineStr">
        <is>
          <t>OLOFSTRÖM</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25682-2025</t>
        </is>
      </c>
      <c r="B370" t="inlineStr">
        <is>
          <t>avverkningsanmälan</t>
        </is>
      </c>
      <c r="C370" t="inlineStr">
        <is>
          <t>Föryngringsavverkning</t>
        </is>
      </c>
      <c r="D370" s="1" t="n">
        <v>45803</v>
      </c>
      <c r="E370" s="1" t="n">
        <v>46222</v>
      </c>
      <c r="F370" t="inlineStr">
        <is>
          <t>BLEKINGE LÄN</t>
        </is>
      </c>
      <c r="G370" t="inlineStr">
        <is>
          <t>OLOFSTRÖM</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19710-2024</t>
        </is>
      </c>
      <c r="B371" t="inlineStr">
        <is>
          <t>avverkningsanmälan</t>
        </is>
      </c>
      <c r="C371" t="inlineStr">
        <is>
          <t>Föryngringsavverkning</t>
        </is>
      </c>
      <c r="D371" s="1" t="n">
        <v>45432</v>
      </c>
      <c r="E371" s="1" t="n">
        <v>46222</v>
      </c>
      <c r="F371" t="inlineStr">
        <is>
          <t>BLEKINGE LÄN</t>
        </is>
      </c>
      <c r="G371" t="inlineStr">
        <is>
          <t>OLOFSTRÖM</t>
        </is>
      </c>
      <c r="H371" t="inlineStr">
        <is>
          <t>Kommuner</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46222</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46222</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46222</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46222</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46222</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46222</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46222</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46222</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46222</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2026-07-19T01:37:21Z</dcterms:created>
  <dcterms:modified xmlns:dcterms="http://purl.org/dc/terms/" xmlns:xsi="http://www.w3.org/2001/XMLSchema-instance" xsi:type="dcterms:W3CDTF">2026-07-19T01:37:21Z</dcterms:modified>
</cp:coreProperties>
</file>