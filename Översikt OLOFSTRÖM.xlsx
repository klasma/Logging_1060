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37860-2025</t>
        </is>
      </c>
      <c r="B2" s="1" t="n">
        <v>45881</v>
      </c>
      <c r="C2" s="1" t="n">
        <v>46202</v>
      </c>
      <c r="D2" t="inlineStr">
        <is>
          <t>BLEKINGE LÄN</t>
        </is>
      </c>
      <c r="E2" t="inlineStr">
        <is>
          <t>OLOFSTRÖM</t>
        </is>
      </c>
      <c r="F2" t="inlineStr">
        <is>
          <t>Övriga Aktiebolag</t>
        </is>
      </c>
      <c r="G2" t="n">
        <v>2.2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Rostfläck
Ekbräken
Glansfläck
Liljekonvalj
Skriftlav</t>
        </is>
      </c>
      <c r="S2">
        <f>HYPERLINK("https://klasma.github.io/Logging_1060/artfynd/A 37860-2025 artfynd.xlsx", "A 37860-2025")</f>
        <v/>
      </c>
      <c r="T2">
        <f>HYPERLINK("https://klasma.github.io/Logging_1060/kartor/A 37860-2025 karta.png", "A 37860-2025")</f>
        <v/>
      </c>
      <c r="V2">
        <f>HYPERLINK("https://klasma.github.io/Logging_1060/klagomål/A 37860-2025 FSC-klagomål.docx", "A 37860-2025")</f>
        <v/>
      </c>
      <c r="W2">
        <f>HYPERLINK("https://klasma.github.io/Logging_1060/klagomålsmail/A 37860-2025 FSC-klagomål mail.docx", "A 37860-2025")</f>
        <v/>
      </c>
      <c r="X2">
        <f>HYPERLINK("https://klasma.github.io/Logging_1060/tillsyn/A 37860-2025 tillsynsbegäran.docx", "A 37860-2025")</f>
        <v/>
      </c>
      <c r="Y2">
        <f>HYPERLINK("https://klasma.github.io/Logging_1060/tillsynsmail/A 37860-2025 tillsynsbegäran mail.docx", "A 37860-2025")</f>
        <v/>
      </c>
    </row>
    <row r="3" ht="15" customHeight="1">
      <c r="A3" t="inlineStr">
        <is>
          <t>A 46168-2021</t>
        </is>
      </c>
      <c r="B3" s="1" t="n">
        <v>44442</v>
      </c>
      <c r="C3" s="1" t="n">
        <v>46202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3.3</v>
      </c>
      <c r="H3" t="n">
        <v>1</v>
      </c>
      <c r="I3" t="n">
        <v>1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Krypfloka
Sjötåtel
Brunag
Blåsfliksmossa</t>
        </is>
      </c>
      <c r="S3">
        <f>HYPERLINK("https://klasma.github.io/Logging_1060/artfynd/A 46168-2021 artfynd.xlsx", "A 46168-2021")</f>
        <v/>
      </c>
      <c r="T3">
        <f>HYPERLINK("https://klasma.github.io/Logging_1060/kartor/A 46168-2021 karta.png", "A 46168-2021")</f>
        <v/>
      </c>
      <c r="V3">
        <f>HYPERLINK("https://klasma.github.io/Logging_1060/klagomål/A 46168-2021 FSC-klagomål.docx", "A 46168-2021")</f>
        <v/>
      </c>
      <c r="W3">
        <f>HYPERLINK("https://klasma.github.io/Logging_1060/klagomålsmail/A 46168-2021 FSC-klagomål mail.docx", "A 46168-2021")</f>
        <v/>
      </c>
      <c r="X3">
        <f>HYPERLINK("https://klasma.github.io/Logging_1060/tillsyn/A 46168-2021 tillsynsbegäran.docx", "A 46168-2021")</f>
        <v/>
      </c>
      <c r="Y3">
        <f>HYPERLINK("https://klasma.github.io/Logging_1060/tillsynsmail/A 46168-2021 tillsynsbegäran mail.docx", "A 46168-2021")</f>
        <v/>
      </c>
    </row>
    <row r="4" ht="15" customHeight="1">
      <c r="A4" t="inlineStr">
        <is>
          <t>A 62747-2023</t>
        </is>
      </c>
      <c r="B4" s="1" t="n">
        <v>45268</v>
      </c>
      <c r="C4" s="1" t="n">
        <v>46202</v>
      </c>
      <c r="D4" t="inlineStr">
        <is>
          <t>BLEKINGE LÄN</t>
        </is>
      </c>
      <c r="E4" t="inlineStr">
        <is>
          <t>OLOFSTRÖM</t>
        </is>
      </c>
      <c r="F4" t="inlineStr">
        <is>
          <t>Övriga Aktiebolag</t>
        </is>
      </c>
      <c r="G4" t="n">
        <v>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Igelkott
Kungsfiskare
Utter</t>
        </is>
      </c>
      <c r="S4">
        <f>HYPERLINK("https://klasma.github.io/Logging_1060/artfynd/A 62747-2023 artfynd.xlsx", "A 62747-2023")</f>
        <v/>
      </c>
      <c r="T4">
        <f>HYPERLINK("https://klasma.github.io/Logging_1060/kartor/A 62747-2023 karta.png", "A 62747-2023")</f>
        <v/>
      </c>
      <c r="V4">
        <f>HYPERLINK("https://klasma.github.io/Logging_1060/klagomål/A 62747-2023 FSC-klagomål.docx", "A 62747-2023")</f>
        <v/>
      </c>
      <c r="W4">
        <f>HYPERLINK("https://klasma.github.io/Logging_1060/klagomålsmail/A 62747-2023 FSC-klagomål mail.docx", "A 62747-2023")</f>
        <v/>
      </c>
      <c r="X4">
        <f>HYPERLINK("https://klasma.github.io/Logging_1060/tillsyn/A 62747-2023 tillsynsbegäran.docx", "A 62747-2023")</f>
        <v/>
      </c>
      <c r="Y4">
        <f>HYPERLINK("https://klasma.github.io/Logging_1060/tillsynsmail/A 62747-2023 tillsynsbegäran mail.docx", "A 62747-2023")</f>
        <v/>
      </c>
    </row>
    <row r="5" ht="15" customHeight="1">
      <c r="A5" t="inlineStr">
        <is>
          <t>A 39568-2021</t>
        </is>
      </c>
      <c r="B5" s="1" t="n">
        <v>44416</v>
      </c>
      <c r="C5" s="1" t="n">
        <v>46202</v>
      </c>
      <c r="D5" t="inlineStr">
        <is>
          <t>BLEKINGE LÄN</t>
        </is>
      </c>
      <c r="E5" t="inlineStr">
        <is>
          <t>OLOFSTRÖM</t>
        </is>
      </c>
      <c r="G5" t="n">
        <v>1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Småvänderot
Gullpudra
Stenporella</t>
        </is>
      </c>
      <c r="S5">
        <f>HYPERLINK("https://klasma.github.io/Logging_1060/artfynd/A 39568-2021 artfynd.xlsx", "A 39568-2021")</f>
        <v/>
      </c>
      <c r="T5">
        <f>HYPERLINK("https://klasma.github.io/Logging_1060/kartor/A 39568-2021 karta.png", "A 39568-2021")</f>
        <v/>
      </c>
      <c r="V5">
        <f>HYPERLINK("https://klasma.github.io/Logging_1060/klagomål/A 39568-2021 FSC-klagomål.docx", "A 39568-2021")</f>
        <v/>
      </c>
      <c r="W5">
        <f>HYPERLINK("https://klasma.github.io/Logging_1060/klagomålsmail/A 39568-2021 FSC-klagomål mail.docx", "A 39568-2021")</f>
        <v/>
      </c>
      <c r="X5">
        <f>HYPERLINK("https://klasma.github.io/Logging_1060/tillsyn/A 39568-2021 tillsynsbegäran.docx", "A 39568-2021")</f>
        <v/>
      </c>
      <c r="Y5">
        <f>HYPERLINK("https://klasma.github.io/Logging_1060/tillsynsmail/A 39568-2021 tillsynsbegäran mail.docx", "A 39568-2021")</f>
        <v/>
      </c>
    </row>
    <row r="6" ht="15" customHeight="1">
      <c r="A6" t="inlineStr">
        <is>
          <t>A 33863-2023</t>
        </is>
      </c>
      <c r="B6" s="1" t="n">
        <v>45133</v>
      </c>
      <c r="C6" s="1" t="n">
        <v>46202</v>
      </c>
      <c r="D6" t="inlineStr">
        <is>
          <t>BLEKINGE LÄN</t>
        </is>
      </c>
      <c r="E6" t="inlineStr">
        <is>
          <t>OLOFSTRÖM</t>
        </is>
      </c>
      <c r="G6" t="n">
        <v>6.4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Skogsalm
Backruta
Grönvit nattviol</t>
        </is>
      </c>
      <c r="S6">
        <f>HYPERLINK("https://klasma.github.io/Logging_1060/artfynd/A 33863-2023 artfynd.xlsx", "A 33863-2023")</f>
        <v/>
      </c>
      <c r="T6">
        <f>HYPERLINK("https://klasma.github.io/Logging_1060/kartor/A 33863-2023 karta.png", "A 33863-2023")</f>
        <v/>
      </c>
      <c r="V6">
        <f>HYPERLINK("https://klasma.github.io/Logging_1060/klagomål/A 33863-2023 FSC-klagomål.docx", "A 33863-2023")</f>
        <v/>
      </c>
      <c r="W6">
        <f>HYPERLINK("https://klasma.github.io/Logging_1060/klagomålsmail/A 33863-2023 FSC-klagomål mail.docx", "A 33863-2023")</f>
        <v/>
      </c>
      <c r="X6">
        <f>HYPERLINK("https://klasma.github.io/Logging_1060/tillsyn/A 33863-2023 tillsynsbegäran.docx", "A 33863-2023")</f>
        <v/>
      </c>
      <c r="Y6">
        <f>HYPERLINK("https://klasma.github.io/Logging_1060/tillsynsmail/A 33863-2023 tillsynsbegäran mail.docx", "A 33863-2023")</f>
        <v/>
      </c>
    </row>
    <row r="7" ht="15" customHeight="1">
      <c r="A7" t="inlineStr">
        <is>
          <t>A 57229-2024</t>
        </is>
      </c>
      <c r="B7" s="1" t="n">
        <v>45629</v>
      </c>
      <c r="C7" s="1" t="n">
        <v>46202</v>
      </c>
      <c r="D7" t="inlineStr">
        <is>
          <t>BLEKINGE LÄN</t>
        </is>
      </c>
      <c r="E7" t="inlineStr">
        <is>
          <t>OLOFSTRÖM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Ask
Lunglav
Platt fjädermossa</t>
        </is>
      </c>
      <c r="S7">
        <f>HYPERLINK("https://klasma.github.io/Logging_1060/artfynd/A 57229-2024 artfynd.xlsx", "A 57229-2024")</f>
        <v/>
      </c>
      <c r="T7">
        <f>HYPERLINK("https://klasma.github.io/Logging_1060/kartor/A 57229-2024 karta.png", "A 57229-2024")</f>
        <v/>
      </c>
      <c r="V7">
        <f>HYPERLINK("https://klasma.github.io/Logging_1060/klagomål/A 57229-2024 FSC-klagomål.docx", "A 57229-2024")</f>
        <v/>
      </c>
      <c r="W7">
        <f>HYPERLINK("https://klasma.github.io/Logging_1060/klagomålsmail/A 57229-2024 FSC-klagomål mail.docx", "A 57229-2024")</f>
        <v/>
      </c>
      <c r="X7">
        <f>HYPERLINK("https://klasma.github.io/Logging_1060/tillsyn/A 57229-2024 tillsynsbegäran.docx", "A 57229-2024")</f>
        <v/>
      </c>
      <c r="Y7">
        <f>HYPERLINK("https://klasma.github.io/Logging_1060/tillsynsmail/A 57229-2024 tillsynsbegäran mail.docx", "A 57229-2024")</f>
        <v/>
      </c>
    </row>
    <row r="8" ht="15" customHeight="1">
      <c r="A8" t="inlineStr">
        <is>
          <t>A 547-2026</t>
        </is>
      </c>
      <c r="B8" s="1" t="n">
        <v>46029</v>
      </c>
      <c r="C8" s="1" t="n">
        <v>46202</v>
      </c>
      <c r="D8" t="inlineStr">
        <is>
          <t>BLEKINGE LÄN</t>
        </is>
      </c>
      <c r="E8" t="inlineStr">
        <is>
          <t>OLOFSTRÖM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Småvänderot
Skogsbräsma
Revlummer</t>
        </is>
      </c>
      <c r="S8">
        <f>HYPERLINK("https://klasma.github.io/Logging_1060/artfynd/A 547-2026 artfynd.xlsx", "A 547-2026")</f>
        <v/>
      </c>
      <c r="T8">
        <f>HYPERLINK("https://klasma.github.io/Logging_1060/kartor/A 547-2026 karta.png", "A 547-2026")</f>
        <v/>
      </c>
      <c r="V8">
        <f>HYPERLINK("https://klasma.github.io/Logging_1060/klagomål/A 547-2026 FSC-klagomål.docx", "A 547-2026")</f>
        <v/>
      </c>
      <c r="W8">
        <f>HYPERLINK("https://klasma.github.io/Logging_1060/klagomålsmail/A 547-2026 FSC-klagomål mail.docx", "A 547-2026")</f>
        <v/>
      </c>
      <c r="X8">
        <f>HYPERLINK("https://klasma.github.io/Logging_1060/tillsyn/A 547-2026 tillsynsbegäran.docx", "A 547-2026")</f>
        <v/>
      </c>
      <c r="Y8">
        <f>HYPERLINK("https://klasma.github.io/Logging_1060/tillsynsmail/A 547-2026 tillsynsbegäran mail.docx", "A 547-2026")</f>
        <v/>
      </c>
    </row>
    <row r="9" ht="15" customHeight="1">
      <c r="A9" t="inlineStr">
        <is>
          <t>A 74357-2021</t>
        </is>
      </c>
      <c r="B9" s="1" t="n">
        <v>44559</v>
      </c>
      <c r="C9" s="1" t="n">
        <v>46202</v>
      </c>
      <c r="D9" t="inlineStr">
        <is>
          <t>BLEKINGE LÄN</t>
        </is>
      </c>
      <c r="E9" t="inlineStr">
        <is>
          <t>OLOFSTRÖM</t>
        </is>
      </c>
      <c r="G9" t="n">
        <v>3.8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Vanlig padda</t>
        </is>
      </c>
      <c r="S9">
        <f>HYPERLINK("https://klasma.github.io/Logging_1060/artfynd/A 74357-2021 artfynd.xlsx", "A 74357-2021")</f>
        <v/>
      </c>
      <c r="T9">
        <f>HYPERLINK("https://klasma.github.io/Logging_1060/kartor/A 74357-2021 karta.png", "A 74357-2021")</f>
        <v/>
      </c>
      <c r="V9">
        <f>HYPERLINK("https://klasma.github.io/Logging_1060/klagomål/A 74357-2021 FSC-klagomål.docx", "A 74357-2021")</f>
        <v/>
      </c>
      <c r="W9">
        <f>HYPERLINK("https://klasma.github.io/Logging_1060/klagomålsmail/A 74357-2021 FSC-klagomål mail.docx", "A 74357-2021")</f>
        <v/>
      </c>
      <c r="X9">
        <f>HYPERLINK("https://klasma.github.io/Logging_1060/tillsyn/A 74357-2021 tillsynsbegäran.docx", "A 74357-2021")</f>
        <v/>
      </c>
      <c r="Y9">
        <f>HYPERLINK("https://klasma.github.io/Logging_1060/tillsynsmail/A 74357-2021 tillsynsbegäran mail.docx", "A 74357-2021")</f>
        <v/>
      </c>
    </row>
    <row r="10" ht="15" customHeight="1">
      <c r="A10" t="inlineStr">
        <is>
          <t>A 46157-2024</t>
        </is>
      </c>
      <c r="B10" s="1" t="n">
        <v>45581</v>
      </c>
      <c r="C10" s="1" t="n">
        <v>46202</v>
      </c>
      <c r="D10" t="inlineStr">
        <is>
          <t>BLEKINGE LÄN</t>
        </is>
      </c>
      <c r="E10" t="inlineStr">
        <is>
          <t>OLOFSTRÖM</t>
        </is>
      </c>
      <c r="G10" t="n">
        <v>0.5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HYPERLINK("https://klasma.github.io/Logging_1060/artfynd/A 46157-2024 artfynd.xlsx", "A 46157-2024")</f>
        <v/>
      </c>
      <c r="T10">
        <f>HYPERLINK("https://klasma.github.io/Logging_1060/kartor/A 46157-2024 karta.png", "A 46157-2024")</f>
        <v/>
      </c>
      <c r="U10">
        <f>HYPERLINK("https://klasma.github.io/Logging_1060/knärot/A 46157-2024 karta knärot.png", "A 46157-2024")</f>
        <v/>
      </c>
      <c r="V10">
        <f>HYPERLINK("https://klasma.github.io/Logging_1060/klagomål/A 46157-2024 FSC-klagomål.docx", "A 46157-2024")</f>
        <v/>
      </c>
      <c r="W10">
        <f>HYPERLINK("https://klasma.github.io/Logging_1060/klagomålsmail/A 46157-2024 FSC-klagomål mail.docx", "A 46157-2024")</f>
        <v/>
      </c>
      <c r="X10">
        <f>HYPERLINK("https://klasma.github.io/Logging_1060/tillsyn/A 46157-2024 tillsynsbegäran.docx", "A 46157-2024")</f>
        <v/>
      </c>
      <c r="Y10">
        <f>HYPERLINK("https://klasma.github.io/Logging_1060/tillsynsmail/A 46157-2024 tillsynsbegäran mail.docx", "A 46157-2024")</f>
        <v/>
      </c>
    </row>
    <row r="11" ht="15" customHeight="1">
      <c r="A11" t="inlineStr">
        <is>
          <t>A 59891-2024</t>
        </is>
      </c>
      <c r="B11" s="1" t="n">
        <v>45641</v>
      </c>
      <c r="C11" s="1" t="n">
        <v>46202</v>
      </c>
      <c r="D11" t="inlineStr">
        <is>
          <t>BLEKINGE LÄN</t>
        </is>
      </c>
      <c r="E11" t="inlineStr">
        <is>
          <t>OLOFSTRÖM</t>
        </is>
      </c>
      <c r="G11" t="n">
        <v>4.3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Sjötåtel
Revlummer</t>
        </is>
      </c>
      <c r="S11">
        <f>HYPERLINK("https://klasma.github.io/Logging_1060/artfynd/A 59891-2024 artfynd.xlsx", "A 59891-2024")</f>
        <v/>
      </c>
      <c r="T11">
        <f>HYPERLINK("https://klasma.github.io/Logging_1060/kartor/A 59891-2024 karta.png", "A 59891-2024")</f>
        <v/>
      </c>
      <c r="V11">
        <f>HYPERLINK("https://klasma.github.io/Logging_1060/klagomål/A 59891-2024 FSC-klagomål.docx", "A 59891-2024")</f>
        <v/>
      </c>
      <c r="W11">
        <f>HYPERLINK("https://klasma.github.io/Logging_1060/klagomålsmail/A 59891-2024 FSC-klagomål mail.docx", "A 59891-2024")</f>
        <v/>
      </c>
      <c r="X11">
        <f>HYPERLINK("https://klasma.github.io/Logging_1060/tillsyn/A 59891-2024 tillsynsbegäran.docx", "A 59891-2024")</f>
        <v/>
      </c>
      <c r="Y11">
        <f>HYPERLINK("https://klasma.github.io/Logging_1060/tillsynsmail/A 59891-2024 tillsynsbegäran mail.docx", "A 59891-2024")</f>
        <v/>
      </c>
    </row>
    <row r="12" ht="15" customHeight="1">
      <c r="A12" t="inlineStr">
        <is>
          <t>A 32004-2023</t>
        </is>
      </c>
      <c r="B12" s="1" t="n">
        <v>45107</v>
      </c>
      <c r="C12" s="1" t="n">
        <v>46202</v>
      </c>
      <c r="D12" t="inlineStr">
        <is>
          <t>BLEKINGE LÄN</t>
        </is>
      </c>
      <c r="E12" t="inlineStr">
        <is>
          <t>OLOFSTRÖM</t>
        </is>
      </c>
      <c r="G12" t="n">
        <v>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Murgröna
Blåsippa</t>
        </is>
      </c>
      <c r="S12">
        <f>HYPERLINK("https://klasma.github.io/Logging_1060/artfynd/A 32004-2023 artfynd.xlsx", "A 32004-2023")</f>
        <v/>
      </c>
      <c r="T12">
        <f>HYPERLINK("https://klasma.github.io/Logging_1060/kartor/A 32004-2023 karta.png", "A 32004-2023")</f>
        <v/>
      </c>
      <c r="V12">
        <f>HYPERLINK("https://klasma.github.io/Logging_1060/klagomål/A 32004-2023 FSC-klagomål.docx", "A 32004-2023")</f>
        <v/>
      </c>
      <c r="W12">
        <f>HYPERLINK("https://klasma.github.io/Logging_1060/klagomålsmail/A 32004-2023 FSC-klagomål mail.docx", "A 32004-2023")</f>
        <v/>
      </c>
      <c r="X12">
        <f>HYPERLINK("https://klasma.github.io/Logging_1060/tillsyn/A 32004-2023 tillsynsbegäran.docx", "A 32004-2023")</f>
        <v/>
      </c>
      <c r="Y12">
        <f>HYPERLINK("https://klasma.github.io/Logging_1060/tillsynsmail/A 32004-2023 tillsynsbegäran mail.docx", "A 32004-2023")</f>
        <v/>
      </c>
    </row>
    <row r="13" ht="15" customHeight="1">
      <c r="A13" t="inlineStr">
        <is>
          <t>A 49941-2025</t>
        </is>
      </c>
      <c r="B13" s="1" t="n">
        <v>45940</v>
      </c>
      <c r="C13" s="1" t="n">
        <v>46202</v>
      </c>
      <c r="D13" t="inlineStr">
        <is>
          <t>BLEKINGE LÄN</t>
        </is>
      </c>
      <c r="E13" t="inlineStr">
        <is>
          <t>OLOFSTRÖM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HYPERLINK("https://klasma.github.io/Logging_1060/artfynd/A 49941-2025 artfynd.xlsx", "A 49941-2025")</f>
        <v/>
      </c>
      <c r="T13">
        <f>HYPERLINK("https://klasma.github.io/Logging_1060/kartor/A 49941-2025 karta.png", "A 49941-2025")</f>
        <v/>
      </c>
      <c r="V13">
        <f>HYPERLINK("https://klasma.github.io/Logging_1060/klagomål/A 49941-2025 FSC-klagomål.docx", "A 49941-2025")</f>
        <v/>
      </c>
      <c r="W13">
        <f>HYPERLINK("https://klasma.github.io/Logging_1060/klagomålsmail/A 49941-2025 FSC-klagomål mail.docx", "A 49941-2025")</f>
        <v/>
      </c>
      <c r="X13">
        <f>HYPERLINK("https://klasma.github.io/Logging_1060/tillsyn/A 49941-2025 tillsynsbegäran.docx", "A 49941-2025")</f>
        <v/>
      </c>
      <c r="Y13">
        <f>HYPERLINK("https://klasma.github.io/Logging_1060/tillsynsmail/A 49941-2025 tillsynsbegäran mail.docx", "A 49941-2025")</f>
        <v/>
      </c>
    </row>
    <row r="14" ht="15" customHeight="1">
      <c r="A14" t="inlineStr">
        <is>
          <t>A 46918-2024</t>
        </is>
      </c>
      <c r="B14" s="1" t="n">
        <v>45583</v>
      </c>
      <c r="C14" s="1" t="n">
        <v>46202</v>
      </c>
      <c r="D14" t="inlineStr">
        <is>
          <t>BLEKINGE LÄN</t>
        </is>
      </c>
      <c r="E14" t="inlineStr">
        <is>
          <t>OLOFSTRÖM</t>
        </is>
      </c>
      <c r="G14" t="n">
        <v>16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Fyrflikig jordstjärna
Kamjordstjärna</t>
        </is>
      </c>
      <c r="S14">
        <f>HYPERLINK("https://klasma.github.io/Logging_1060/artfynd/A 46918-2024 artfynd.xlsx", "A 46918-2024")</f>
        <v/>
      </c>
      <c r="T14">
        <f>HYPERLINK("https://klasma.github.io/Logging_1060/kartor/A 46918-2024 karta.png", "A 46918-2024")</f>
        <v/>
      </c>
      <c r="V14">
        <f>HYPERLINK("https://klasma.github.io/Logging_1060/klagomål/A 46918-2024 FSC-klagomål.docx", "A 46918-2024")</f>
        <v/>
      </c>
      <c r="W14">
        <f>HYPERLINK("https://klasma.github.io/Logging_1060/klagomålsmail/A 46918-2024 FSC-klagomål mail.docx", "A 46918-2024")</f>
        <v/>
      </c>
      <c r="X14">
        <f>HYPERLINK("https://klasma.github.io/Logging_1060/tillsyn/A 46918-2024 tillsynsbegäran.docx", "A 46918-2024")</f>
        <v/>
      </c>
      <c r="Y14">
        <f>HYPERLINK("https://klasma.github.io/Logging_1060/tillsynsmail/A 46918-2024 tillsynsbegäran mail.docx", "A 46918-2024")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46202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46202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49064-2024</t>
        </is>
      </c>
      <c r="B17" s="1" t="n">
        <v>45594</v>
      </c>
      <c r="C17" s="1" t="n">
        <v>46202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45688-2023</t>
        </is>
      </c>
      <c r="B18" s="1" t="n">
        <v>45195</v>
      </c>
      <c r="C18" s="1" t="n">
        <v>46202</v>
      </c>
      <c r="D18" t="inlineStr">
        <is>
          <t>BLEKINGE LÄN</t>
        </is>
      </c>
      <c r="E18" t="inlineStr">
        <is>
          <t>OLOFSTRÖM</t>
        </is>
      </c>
      <c r="G18" t="n">
        <v>6.7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HYPERLINK("https://klasma.github.io/Logging_1060/artfynd/A 45688-2023 artfynd.xlsx", "A 45688-2023")</f>
        <v/>
      </c>
      <c r="T18">
        <f>HYPERLINK("https://klasma.github.io/Logging_1060/kartor/A 45688-2023 karta.png", "A 45688-2023")</f>
        <v/>
      </c>
      <c r="V18">
        <f>HYPERLINK("https://klasma.github.io/Logging_1060/klagomål/A 45688-2023 FSC-klagomål.docx", "A 45688-2023")</f>
        <v/>
      </c>
      <c r="W18">
        <f>HYPERLINK("https://klasma.github.io/Logging_1060/klagomålsmail/A 45688-2023 FSC-klagomål mail.docx", "A 45688-2023")</f>
        <v/>
      </c>
      <c r="X18">
        <f>HYPERLINK("https://klasma.github.io/Logging_1060/tillsyn/A 45688-2023 tillsynsbegäran.docx", "A 45688-2023")</f>
        <v/>
      </c>
      <c r="Y18">
        <f>HYPERLINK("https://klasma.github.io/Logging_1060/tillsynsmail/A 45688-2023 tillsynsbegäran mail.docx", "A 45688-2023")</f>
        <v/>
      </c>
    </row>
    <row r="19" ht="15" customHeight="1">
      <c r="A19" t="inlineStr">
        <is>
          <t>A 650-2022</t>
        </is>
      </c>
      <c r="B19" s="1" t="n">
        <v>44568</v>
      </c>
      <c r="C19" s="1" t="n">
        <v>46202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5.8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HYPERLINK("https://klasma.github.io/Logging_1060/artfynd/A 650-2022 artfynd.xlsx", "A 650-2022")</f>
        <v/>
      </c>
      <c r="T19">
        <f>HYPERLINK("https://klasma.github.io/Logging_1060/kartor/A 650-2022 karta.png", "A 650-2022")</f>
        <v/>
      </c>
      <c r="V19">
        <f>HYPERLINK("https://klasma.github.io/Logging_1060/klagomål/A 650-2022 FSC-klagomål.docx", "A 650-2022")</f>
        <v/>
      </c>
      <c r="W19">
        <f>HYPERLINK("https://klasma.github.io/Logging_1060/klagomålsmail/A 650-2022 FSC-klagomål mail.docx", "A 650-2022")</f>
        <v/>
      </c>
      <c r="X19">
        <f>HYPERLINK("https://klasma.github.io/Logging_1060/tillsyn/A 650-2022 tillsynsbegäran.docx", "A 650-2022")</f>
        <v/>
      </c>
      <c r="Y19">
        <f>HYPERLINK("https://klasma.github.io/Logging_1060/tillsynsmail/A 650-2022 tillsynsbegäran mail.docx", "A 650-2022")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46202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34742-2023</t>
        </is>
      </c>
      <c r="B21" s="1" t="n">
        <v>45141</v>
      </c>
      <c r="C21" s="1" t="n">
        <v>46202</v>
      </c>
      <c r="D21" t="inlineStr">
        <is>
          <t>BLEKINGE LÄN</t>
        </is>
      </c>
      <c r="E21" t="inlineStr">
        <is>
          <t>OLOFSTRÖM</t>
        </is>
      </c>
      <c r="G21" t="n">
        <v>3.6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HYPERLINK("https://klasma.github.io/Logging_1060/artfynd/A 34742-2023 artfynd.xlsx", "A 34742-2023")</f>
        <v/>
      </c>
      <c r="T21">
        <f>HYPERLINK("https://klasma.github.io/Logging_1060/kartor/A 34742-2023 karta.png", "A 34742-2023")</f>
        <v/>
      </c>
      <c r="V21">
        <f>HYPERLINK("https://klasma.github.io/Logging_1060/klagomål/A 34742-2023 FSC-klagomål.docx", "A 34742-2023")</f>
        <v/>
      </c>
      <c r="W21">
        <f>HYPERLINK("https://klasma.github.io/Logging_1060/klagomålsmail/A 34742-2023 FSC-klagomål mail.docx", "A 34742-2023")</f>
        <v/>
      </c>
      <c r="X21">
        <f>HYPERLINK("https://klasma.github.io/Logging_1060/tillsyn/A 34742-2023 tillsynsbegäran.docx", "A 34742-2023")</f>
        <v/>
      </c>
      <c r="Y21">
        <f>HYPERLINK("https://klasma.github.io/Logging_1060/tillsynsmail/A 34742-2023 tillsynsbegäran mail.docx", "A 34742-2023")</f>
        <v/>
      </c>
    </row>
    <row r="22" ht="15" customHeight="1">
      <c r="A22" t="inlineStr">
        <is>
          <t>A 39085-2024</t>
        </is>
      </c>
      <c r="B22" s="1" t="n">
        <v>45548</v>
      </c>
      <c r="C22" s="1" t="n">
        <v>46202</v>
      </c>
      <c r="D22" t="inlineStr">
        <is>
          <t>BLEKINGE LÄN</t>
        </is>
      </c>
      <c r="E22" t="inlineStr">
        <is>
          <t>OLOFSTRÖM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HYPERLINK("https://klasma.github.io/Logging_1060/artfynd/A 39085-2024 artfynd.xlsx", "A 39085-2024")</f>
        <v/>
      </c>
      <c r="T22">
        <f>HYPERLINK("https://klasma.github.io/Logging_1060/kartor/A 39085-2024 karta.png", "A 39085-2024")</f>
        <v/>
      </c>
      <c r="V22">
        <f>HYPERLINK("https://klasma.github.io/Logging_1060/klagomål/A 39085-2024 FSC-klagomål.docx", "A 39085-2024")</f>
        <v/>
      </c>
      <c r="W22">
        <f>HYPERLINK("https://klasma.github.io/Logging_1060/klagomålsmail/A 39085-2024 FSC-klagomål mail.docx", "A 39085-2024")</f>
        <v/>
      </c>
      <c r="X22">
        <f>HYPERLINK("https://klasma.github.io/Logging_1060/tillsyn/A 39085-2024 tillsynsbegäran.docx", "A 39085-2024")</f>
        <v/>
      </c>
      <c r="Y22">
        <f>HYPERLINK("https://klasma.github.io/Logging_1060/tillsynsmail/A 39085-2024 tillsynsbegäran mail.docx", "A 39085-2024")</f>
        <v/>
      </c>
    </row>
    <row r="23" ht="15" customHeight="1">
      <c r="A23" t="inlineStr">
        <is>
          <t>A 39104-2024</t>
        </is>
      </c>
      <c r="B23" s="1" t="n">
        <v>45548</v>
      </c>
      <c r="C23" s="1" t="n">
        <v>46202</v>
      </c>
      <c r="D23" t="inlineStr">
        <is>
          <t>BLEKINGE LÄN</t>
        </is>
      </c>
      <c r="E23" t="inlineStr">
        <is>
          <t>OLOFSTRÖM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HYPERLINK("https://klasma.github.io/Logging_1060/artfynd/A 39104-2024 artfynd.xlsx", "A 39104-2024")</f>
        <v/>
      </c>
      <c r="T23">
        <f>HYPERLINK("https://klasma.github.io/Logging_1060/kartor/A 39104-2024 karta.png", "A 39104-2024")</f>
        <v/>
      </c>
      <c r="V23">
        <f>HYPERLINK("https://klasma.github.io/Logging_1060/klagomål/A 39104-2024 FSC-klagomål.docx", "A 39104-2024")</f>
        <v/>
      </c>
      <c r="W23">
        <f>HYPERLINK("https://klasma.github.io/Logging_1060/klagomålsmail/A 39104-2024 FSC-klagomål mail.docx", "A 39104-2024")</f>
        <v/>
      </c>
      <c r="X23">
        <f>HYPERLINK("https://klasma.github.io/Logging_1060/tillsyn/A 39104-2024 tillsynsbegäran.docx", "A 39104-2024")</f>
        <v/>
      </c>
      <c r="Y23">
        <f>HYPERLINK("https://klasma.github.io/Logging_1060/tillsynsmail/A 39104-2024 tillsynsbegäran mail.docx", "A 39104-2024")</f>
        <v/>
      </c>
    </row>
    <row r="24" ht="15" customHeight="1">
      <c r="A24" t="inlineStr">
        <is>
          <t>A 12792-2025</t>
        </is>
      </c>
      <c r="B24" s="1" t="n">
        <v>45733</v>
      </c>
      <c r="C24" s="1" t="n">
        <v>46202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27979-2023</t>
        </is>
      </c>
      <c r="B25" s="1" t="n">
        <v>45098</v>
      </c>
      <c r="C25" s="1" t="n">
        <v>46202</v>
      </c>
      <c r="D25" t="inlineStr">
        <is>
          <t>BLEKINGE LÄN</t>
        </is>
      </c>
      <c r="E25" t="inlineStr">
        <is>
          <t>OLOFSTRÖM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HYPERLINK("https://klasma.github.io/Logging_1060/artfynd/A 27979-2023 artfynd.xlsx", "A 27979-2023")</f>
        <v/>
      </c>
      <c r="T25">
        <f>HYPERLINK("https://klasma.github.io/Logging_1060/kartor/A 27979-2023 karta.png", "A 27979-2023")</f>
        <v/>
      </c>
      <c r="V25">
        <f>HYPERLINK("https://klasma.github.io/Logging_1060/klagomål/A 27979-2023 FSC-klagomål.docx", "A 27979-2023")</f>
        <v/>
      </c>
      <c r="W25">
        <f>HYPERLINK("https://klasma.github.io/Logging_1060/klagomålsmail/A 27979-2023 FSC-klagomål mail.docx", "A 27979-2023")</f>
        <v/>
      </c>
      <c r="X25">
        <f>HYPERLINK("https://klasma.github.io/Logging_1060/tillsyn/A 27979-2023 tillsynsbegäran.docx", "A 27979-2023")</f>
        <v/>
      </c>
      <c r="Y25">
        <f>HYPERLINK("https://klasma.github.io/Logging_1060/tillsynsmail/A 27979-2023 tillsynsbegäran mail.docx", "A 27979-2023")</f>
        <v/>
      </c>
    </row>
    <row r="26" ht="15" customHeight="1">
      <c r="A26" t="inlineStr">
        <is>
          <t>A 33416-2023</t>
        </is>
      </c>
      <c r="B26" s="1" t="n">
        <v>45117</v>
      </c>
      <c r="C26" s="1" t="n">
        <v>46202</v>
      </c>
      <c r="D26" t="inlineStr">
        <is>
          <t>BLEKINGE LÄN</t>
        </is>
      </c>
      <c r="E26" t="inlineStr">
        <is>
          <t>OLOFSTRÖM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Skogsbräsma</t>
        </is>
      </c>
      <c r="S26">
        <f>HYPERLINK("https://klasma.github.io/Logging_1060/artfynd/A 33416-2023 artfynd.xlsx", "A 33416-2023")</f>
        <v/>
      </c>
      <c r="T26">
        <f>HYPERLINK("https://klasma.github.io/Logging_1060/kartor/A 33416-2023 karta.png", "A 33416-2023")</f>
        <v/>
      </c>
      <c r="V26">
        <f>HYPERLINK("https://klasma.github.io/Logging_1060/klagomål/A 33416-2023 FSC-klagomål.docx", "A 33416-2023")</f>
        <v/>
      </c>
      <c r="W26">
        <f>HYPERLINK("https://klasma.github.io/Logging_1060/klagomålsmail/A 33416-2023 FSC-klagomål mail.docx", "A 33416-2023")</f>
        <v/>
      </c>
      <c r="X26">
        <f>HYPERLINK("https://klasma.github.io/Logging_1060/tillsyn/A 33416-2023 tillsynsbegäran.docx", "A 33416-2023")</f>
        <v/>
      </c>
      <c r="Y26">
        <f>HYPERLINK("https://klasma.github.io/Logging_1060/tillsynsmail/A 33416-2023 tillsynsbegäran mail.docx", "A 33416-2023")</f>
        <v/>
      </c>
    </row>
    <row r="27" ht="15" customHeight="1">
      <c r="A27" t="inlineStr">
        <is>
          <t>A 48467-2022</t>
        </is>
      </c>
      <c r="B27" s="1" t="n">
        <v>44858</v>
      </c>
      <c r="C27" s="1" t="n">
        <v>46202</v>
      </c>
      <c r="D27" t="inlineStr">
        <is>
          <t>BLEKINGE LÄN</t>
        </is>
      </c>
      <c r="E27" t="inlineStr">
        <is>
          <t>OLOFSTRÖM</t>
        </is>
      </c>
      <c r="G27" t="n">
        <v>2.7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HYPERLINK("https://klasma.github.io/Logging_1060/artfynd/A 48467-2022 artfynd.xlsx", "A 48467-2022")</f>
        <v/>
      </c>
      <c r="T27">
        <f>HYPERLINK("https://klasma.github.io/Logging_1060/kartor/A 48467-2022 karta.png", "A 48467-2022")</f>
        <v/>
      </c>
      <c r="V27">
        <f>HYPERLINK("https://klasma.github.io/Logging_1060/klagomål/A 48467-2022 FSC-klagomål.docx", "A 48467-2022")</f>
        <v/>
      </c>
      <c r="W27">
        <f>HYPERLINK("https://klasma.github.io/Logging_1060/klagomålsmail/A 48467-2022 FSC-klagomål mail.docx", "A 48467-2022")</f>
        <v/>
      </c>
      <c r="X27">
        <f>HYPERLINK("https://klasma.github.io/Logging_1060/tillsyn/A 48467-2022 tillsynsbegäran.docx", "A 48467-2022")</f>
        <v/>
      </c>
      <c r="Y27">
        <f>HYPERLINK("https://klasma.github.io/Logging_1060/tillsynsmail/A 48467-2022 tillsynsbegäran mail.docx", "A 48467-2022")</f>
        <v/>
      </c>
    </row>
    <row r="28" ht="15" customHeight="1">
      <c r="A28" t="inlineStr">
        <is>
          <t>A 56583-2024</t>
        </is>
      </c>
      <c r="B28" s="1" t="n">
        <v>45625</v>
      </c>
      <c r="C28" s="1" t="n">
        <v>46202</v>
      </c>
      <c r="D28" t="inlineStr">
        <is>
          <t>BLEKINGE LÄN</t>
        </is>
      </c>
      <c r="E28" t="inlineStr">
        <is>
          <t>OLOFSTRÖM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HYPERLINK("https://klasma.github.io/Logging_1060/artfynd/A 56583-2024 artfynd.xlsx", "A 56583-2024")</f>
        <v/>
      </c>
      <c r="T28">
        <f>HYPERLINK("https://klasma.github.io/Logging_1060/kartor/A 56583-2024 karta.png", "A 56583-2024")</f>
        <v/>
      </c>
      <c r="V28">
        <f>HYPERLINK("https://klasma.github.io/Logging_1060/klagomål/A 56583-2024 FSC-klagomål.docx", "A 56583-2024")</f>
        <v/>
      </c>
      <c r="W28">
        <f>HYPERLINK("https://klasma.github.io/Logging_1060/klagomålsmail/A 56583-2024 FSC-klagomål mail.docx", "A 56583-2024")</f>
        <v/>
      </c>
      <c r="X28">
        <f>HYPERLINK("https://klasma.github.io/Logging_1060/tillsyn/A 56583-2024 tillsynsbegäran.docx", "A 56583-2024")</f>
        <v/>
      </c>
      <c r="Y28">
        <f>HYPERLINK("https://klasma.github.io/Logging_1060/tillsynsmail/A 56583-2024 tillsynsbegäran mail.docx", "A 56583-2024")</f>
        <v/>
      </c>
    </row>
    <row r="29" ht="15" customHeight="1">
      <c r="A29" t="inlineStr">
        <is>
          <t>A 3711-2025</t>
        </is>
      </c>
      <c r="B29" s="1" t="n">
        <v>45681</v>
      </c>
      <c r="C29" s="1" t="n">
        <v>46202</v>
      </c>
      <c r="D29" t="inlineStr">
        <is>
          <t>BLEKINGE LÄN</t>
        </is>
      </c>
      <c r="E29" t="inlineStr">
        <is>
          <t>OLOFSTRÖM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HYPERLINK("https://klasma.github.io/Logging_1060/artfynd/A 3711-2025 artfynd.xlsx", "A 3711-2025")</f>
        <v/>
      </c>
      <c r="T29">
        <f>HYPERLINK("https://klasma.github.io/Logging_1060/kartor/A 3711-2025 karta.png", "A 3711-2025")</f>
        <v/>
      </c>
      <c r="V29">
        <f>HYPERLINK("https://klasma.github.io/Logging_1060/klagomål/A 3711-2025 FSC-klagomål.docx", "A 3711-2025")</f>
        <v/>
      </c>
      <c r="W29">
        <f>HYPERLINK("https://klasma.github.io/Logging_1060/klagomålsmail/A 3711-2025 FSC-klagomål mail.docx", "A 3711-2025")</f>
        <v/>
      </c>
      <c r="X29">
        <f>HYPERLINK("https://klasma.github.io/Logging_1060/tillsyn/A 3711-2025 tillsynsbegäran.docx", "A 3711-2025")</f>
        <v/>
      </c>
      <c r="Y29">
        <f>HYPERLINK("https://klasma.github.io/Logging_1060/tillsynsmail/A 3711-2025 tillsynsbegäran mail.docx", "A 3711-2025")</f>
        <v/>
      </c>
    </row>
    <row r="30" ht="15" customHeight="1">
      <c r="A30" t="inlineStr">
        <is>
          <t>A 2463-2026</t>
        </is>
      </c>
      <c r="B30" s="1" t="n">
        <v>46037</v>
      </c>
      <c r="C30" s="1" t="n">
        <v>46202</v>
      </c>
      <c r="D30" t="inlineStr">
        <is>
          <t>BLEKINGE LÄN</t>
        </is>
      </c>
      <c r="E30" t="inlineStr">
        <is>
          <t>OLOFSTRÖM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HYPERLINK("https://klasma.github.io/Logging_1060/artfynd/A 2463-2026 artfynd.xlsx", "A 2463-2026")</f>
        <v/>
      </c>
      <c r="T30">
        <f>HYPERLINK("https://klasma.github.io/Logging_1060/kartor/A 2463-2026 karta.png", "A 2463-2026")</f>
        <v/>
      </c>
      <c r="V30">
        <f>HYPERLINK("https://klasma.github.io/Logging_1060/klagomål/A 2463-2026 FSC-klagomål.docx", "A 2463-2026")</f>
        <v/>
      </c>
      <c r="W30">
        <f>HYPERLINK("https://klasma.github.io/Logging_1060/klagomålsmail/A 2463-2026 FSC-klagomål mail.docx", "A 2463-2026")</f>
        <v/>
      </c>
      <c r="X30">
        <f>HYPERLINK("https://klasma.github.io/Logging_1060/tillsyn/A 2463-2026 tillsynsbegäran.docx", "A 2463-2026")</f>
        <v/>
      </c>
      <c r="Y30">
        <f>HYPERLINK("https://klasma.github.io/Logging_1060/tillsynsmail/A 2463-2026 tillsynsbegäran mail.docx", "A 2463-2026")</f>
        <v/>
      </c>
    </row>
    <row r="31" ht="15" customHeight="1">
      <c r="A31" t="inlineStr">
        <is>
          <t>A 5425-2026</t>
        </is>
      </c>
      <c r="B31" s="1" t="n">
        <v>46050</v>
      </c>
      <c r="C31" s="1" t="n">
        <v>46202</v>
      </c>
      <c r="D31" t="inlineStr">
        <is>
          <t>BLEKINGE LÄN</t>
        </is>
      </c>
      <c r="E31" t="inlineStr">
        <is>
          <t>OLOFSTRÖM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HYPERLINK("https://klasma.github.io/Logging_1060/artfynd/A 5425-2026 artfynd.xlsx", "A 5425-2026")</f>
        <v/>
      </c>
      <c r="T31">
        <f>HYPERLINK("https://klasma.github.io/Logging_1060/kartor/A 5425-2026 karta.png", "A 5425-2026")</f>
        <v/>
      </c>
      <c r="V31">
        <f>HYPERLINK("https://klasma.github.io/Logging_1060/klagomål/A 5425-2026 FSC-klagomål.docx", "A 5425-2026")</f>
        <v/>
      </c>
      <c r="W31">
        <f>HYPERLINK("https://klasma.github.io/Logging_1060/klagomålsmail/A 5425-2026 FSC-klagomål mail.docx", "A 5425-2026")</f>
        <v/>
      </c>
      <c r="X31">
        <f>HYPERLINK("https://klasma.github.io/Logging_1060/tillsyn/A 5425-2026 tillsynsbegäran.docx", "A 5425-2026")</f>
        <v/>
      </c>
      <c r="Y31">
        <f>HYPERLINK("https://klasma.github.io/Logging_1060/tillsynsmail/A 5425-2026 tillsynsbegäran mail.docx", "A 5425-2026")</f>
        <v/>
      </c>
    </row>
    <row r="32" ht="15" customHeight="1">
      <c r="A32" t="inlineStr">
        <is>
          <t>A 9313-2026</t>
        </is>
      </c>
      <c r="B32" s="1" t="n">
        <v>46070</v>
      </c>
      <c r="C32" s="1" t="n">
        <v>46202</v>
      </c>
      <c r="D32" t="inlineStr">
        <is>
          <t>BLEKINGE LÄN</t>
        </is>
      </c>
      <c r="E32" t="inlineStr">
        <is>
          <t>OLOFSTRÖM</t>
        </is>
      </c>
      <c r="G32" t="n">
        <v>12.5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HYPERLINK("https://klasma.github.io/Logging_1060/artfynd/A 9313-2026 artfynd.xlsx", "A 9313-2026")</f>
        <v/>
      </c>
      <c r="T32">
        <f>HYPERLINK("https://klasma.github.io/Logging_1060/kartor/A 9313-2026 karta.png", "A 9313-2026")</f>
        <v/>
      </c>
      <c r="V32">
        <f>HYPERLINK("https://klasma.github.io/Logging_1060/klagomål/A 9313-2026 FSC-klagomål.docx", "A 9313-2026")</f>
        <v/>
      </c>
      <c r="W32">
        <f>HYPERLINK("https://klasma.github.io/Logging_1060/klagomålsmail/A 9313-2026 FSC-klagomål mail.docx", "A 9313-2026")</f>
        <v/>
      </c>
      <c r="X32">
        <f>HYPERLINK("https://klasma.github.io/Logging_1060/tillsyn/A 9313-2026 tillsynsbegäran.docx", "A 9313-2026")</f>
        <v/>
      </c>
      <c r="Y32">
        <f>HYPERLINK("https://klasma.github.io/Logging_1060/tillsynsmail/A 9313-2026 tillsynsbegäran mail.docx", "A 9313-2026")</f>
        <v/>
      </c>
    </row>
    <row r="33" ht="15" customHeight="1">
      <c r="A33" t="inlineStr">
        <is>
          <t>A 46675-2024</t>
        </is>
      </c>
      <c r="B33" s="1" t="n">
        <v>45583</v>
      </c>
      <c r="C33" s="1" t="n">
        <v>46202</v>
      </c>
      <c r="D33" t="inlineStr">
        <is>
          <t>BLEKINGE LÄN</t>
        </is>
      </c>
      <c r="E33" t="inlineStr">
        <is>
          <t>OLOFSTRÖM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HYPERLINK("https://klasma.github.io/Logging_1060/artfynd/A 46675-2024 artfynd.xlsx", "A 46675-2024")</f>
        <v/>
      </c>
      <c r="T33">
        <f>HYPERLINK("https://klasma.github.io/Logging_1060/kartor/A 46675-2024 karta.png", "A 46675-2024")</f>
        <v/>
      </c>
      <c r="V33">
        <f>HYPERLINK("https://klasma.github.io/Logging_1060/klagomål/A 46675-2024 FSC-klagomål.docx", "A 46675-2024")</f>
        <v/>
      </c>
      <c r="W33">
        <f>HYPERLINK("https://klasma.github.io/Logging_1060/klagomålsmail/A 46675-2024 FSC-klagomål mail.docx", "A 46675-2024")</f>
        <v/>
      </c>
      <c r="X33">
        <f>HYPERLINK("https://klasma.github.io/Logging_1060/tillsyn/A 46675-2024 tillsynsbegäran.docx", "A 46675-2024")</f>
        <v/>
      </c>
      <c r="Y33">
        <f>HYPERLINK("https://klasma.github.io/Logging_1060/tillsynsmail/A 46675-2024 tillsynsbegäran mail.docx", "A 46675-2024")</f>
        <v/>
      </c>
    </row>
    <row r="34" ht="15" customHeight="1">
      <c r="A34" t="inlineStr">
        <is>
          <t>A 32820-2021</t>
        </is>
      </c>
      <c r="B34" s="1" t="n">
        <v>44375</v>
      </c>
      <c r="C34" s="1" t="n">
        <v>46202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36160-2021</t>
        </is>
      </c>
      <c r="B35" s="1" t="n">
        <v>44386</v>
      </c>
      <c r="C35" s="1" t="n">
        <v>46202</v>
      </c>
      <c r="D35" t="inlineStr">
        <is>
          <t>BLEKINGE LÄN</t>
        </is>
      </c>
      <c r="E35" t="inlineStr">
        <is>
          <t>OLOFSTRÖM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24430-2022</t>
        </is>
      </c>
      <c r="B36" s="1" t="n">
        <v>44726</v>
      </c>
      <c r="C36" s="1" t="n">
        <v>46202</v>
      </c>
      <c r="D36" t="inlineStr">
        <is>
          <t>BLEKINGE LÄN</t>
        </is>
      </c>
      <c r="E36" t="inlineStr">
        <is>
          <t>OLOFSTRÖM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39808-2021</t>
        </is>
      </c>
      <c r="B37" s="1" t="n">
        <v>44417</v>
      </c>
      <c r="C37" s="1" t="n">
        <v>46202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8320-2022</t>
        </is>
      </c>
      <c r="B38" s="1" t="n">
        <v>44610</v>
      </c>
      <c r="C38" s="1" t="n">
        <v>46202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24428-2022</t>
        </is>
      </c>
      <c r="B39" s="1" t="n">
        <v>44726</v>
      </c>
      <c r="C39" s="1" t="n">
        <v>46202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62420-2021</t>
        </is>
      </c>
      <c r="B40" s="1" t="n">
        <v>44503</v>
      </c>
      <c r="C40" s="1" t="n">
        <v>46202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8316-2022</t>
        </is>
      </c>
      <c r="B41" s="1" t="n">
        <v>44610</v>
      </c>
      <c r="C41" s="1" t="n">
        <v>46202</v>
      </c>
      <c r="D41" t="inlineStr">
        <is>
          <t>BLEKINGE LÄN</t>
        </is>
      </c>
      <c r="E41" t="inlineStr">
        <is>
          <t>OLOFSTRÖM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8325-2022</t>
        </is>
      </c>
      <c r="B42" s="1" t="n">
        <v>44610</v>
      </c>
      <c r="C42" s="1" t="n">
        <v>46202</v>
      </c>
      <c r="D42" t="inlineStr">
        <is>
          <t>BLEKINGE LÄN</t>
        </is>
      </c>
      <c r="E42" t="inlineStr">
        <is>
          <t>OLOFSTRÖM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45589-2021</t>
        </is>
      </c>
      <c r="B43" s="1" t="n">
        <v>44440</v>
      </c>
      <c r="C43" s="1" t="n">
        <v>46202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46202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48626-2021</t>
        </is>
      </c>
      <c r="B45" s="1" t="n">
        <v>44452</v>
      </c>
      <c r="C45" s="1" t="n">
        <v>46202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41045-2021</t>
        </is>
      </c>
      <c r="B46" s="1" t="n">
        <v>44421</v>
      </c>
      <c r="C46" s="1" t="n">
        <v>46202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46202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</v>
      </c>
      <c r="C48" s="1" t="n">
        <v>46202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74176-2021</t>
        </is>
      </c>
      <c r="B49" s="1" t="n">
        <v>44558</v>
      </c>
      <c r="C49" s="1" t="n">
        <v>46202</v>
      </c>
      <c r="D49" t="inlineStr">
        <is>
          <t>BLEKINGE LÄN</t>
        </is>
      </c>
      <c r="E49" t="inlineStr">
        <is>
          <t>OLOFSTRÖM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</v>
      </c>
      <c r="C50" s="1" t="n">
        <v>46202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39514-2021</t>
        </is>
      </c>
      <c r="B51" s="1" t="n">
        <v>44414</v>
      </c>
      <c r="C51" s="1" t="n">
        <v>46202</v>
      </c>
      <c r="D51" t="inlineStr">
        <is>
          <t>BLEKINGE LÄN</t>
        </is>
      </c>
      <c r="E51" t="inlineStr">
        <is>
          <t>OLOFSTRÖM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47430-2022</t>
        </is>
      </c>
      <c r="B52" s="1" t="n">
        <v>44853</v>
      </c>
      <c r="C52" s="1" t="n">
        <v>46202</v>
      </c>
      <c r="D52" t="inlineStr">
        <is>
          <t>BLEKINGE LÄN</t>
        </is>
      </c>
      <c r="E52" t="inlineStr">
        <is>
          <t>OLOFSTRÖM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73436-2021</t>
        </is>
      </c>
      <c r="B53" s="1" t="n">
        <v>44551</v>
      </c>
      <c r="C53" s="1" t="n">
        <v>46202</v>
      </c>
      <c r="D53" t="inlineStr">
        <is>
          <t>BLEKINGE LÄN</t>
        </is>
      </c>
      <c r="E53" t="inlineStr">
        <is>
          <t>OLOFSTRÖM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20469-2022</t>
        </is>
      </c>
      <c r="B54" s="1" t="n">
        <v>44699</v>
      </c>
      <c r="C54" s="1" t="n">
        <v>46202</v>
      </c>
      <c r="D54" t="inlineStr">
        <is>
          <t>BLEKINGE LÄN</t>
        </is>
      </c>
      <c r="E54" t="inlineStr">
        <is>
          <t>OLOFSTRÖM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45588-2021</t>
        </is>
      </c>
      <c r="B55" s="1" t="n">
        <v>44440</v>
      </c>
      <c r="C55" s="1" t="n">
        <v>46202</v>
      </c>
      <c r="D55" t="inlineStr">
        <is>
          <t>BLEKINGE LÄN</t>
        </is>
      </c>
      <c r="E55" t="inlineStr">
        <is>
          <t>OLOFSTRÖM</t>
        </is>
      </c>
      <c r="F55" t="inlineStr">
        <is>
          <t>Övriga Aktiebolag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50420-2022</t>
        </is>
      </c>
      <c r="B56" s="1" t="n">
        <v>44866</v>
      </c>
      <c r="C56" s="1" t="n">
        <v>46202</v>
      </c>
      <c r="D56" t="inlineStr">
        <is>
          <t>BLEKINGE LÄN</t>
        </is>
      </c>
      <c r="E56" t="inlineStr">
        <is>
          <t>OLOFSTRÖM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36180-2021</t>
        </is>
      </c>
      <c r="B57" s="1" t="n">
        <v>44387</v>
      </c>
      <c r="C57" s="1" t="n">
        <v>46202</v>
      </c>
      <c r="D57" t="inlineStr">
        <is>
          <t>BLEKINGE LÄN</t>
        </is>
      </c>
      <c r="E57" t="inlineStr">
        <is>
          <t>OLOFSTRÖM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53764-2021</t>
        </is>
      </c>
      <c r="B58" s="1" t="n">
        <v>44469</v>
      </c>
      <c r="C58" s="1" t="n">
        <v>46202</v>
      </c>
      <c r="D58" t="inlineStr">
        <is>
          <t>BLEKINGE LÄN</t>
        </is>
      </c>
      <c r="E58" t="inlineStr">
        <is>
          <t>OLOFSTRÖM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73441-2021</t>
        </is>
      </c>
      <c r="B59" s="1" t="n">
        <v>44551</v>
      </c>
      <c r="C59" s="1" t="n">
        <v>46202</v>
      </c>
      <c r="D59" t="inlineStr">
        <is>
          <t>BLEKINGE LÄN</t>
        </is>
      </c>
      <c r="E59" t="inlineStr">
        <is>
          <t>OLOFSTRÖM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73441-2021</t>
        </is>
      </c>
      <c r="B60" s="1" t="n">
        <v>44551</v>
      </c>
      <c r="C60" s="1" t="n">
        <v>46202</v>
      </c>
      <c r="D60" t="inlineStr">
        <is>
          <t>BLEKINGE LÄN</t>
        </is>
      </c>
      <c r="E60" t="inlineStr">
        <is>
          <t>OLOFSTRÖM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13742-2022</t>
        </is>
      </c>
      <c r="B61" s="1" t="n">
        <v>44649</v>
      </c>
      <c r="C61" s="1" t="n">
        <v>46202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13747-2022</t>
        </is>
      </c>
      <c r="B62" s="1" t="n">
        <v>44649</v>
      </c>
      <c r="C62" s="1" t="n">
        <v>46202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65691-2021</t>
        </is>
      </c>
      <c r="B63" s="1" t="n">
        <v>44516</v>
      </c>
      <c r="C63" s="1" t="n">
        <v>46202</v>
      </c>
      <c r="D63" t="inlineStr">
        <is>
          <t>BLEKINGE LÄN</t>
        </is>
      </c>
      <c r="E63" t="inlineStr">
        <is>
          <t>OLOFSTRÖM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43065-2021</t>
        </is>
      </c>
      <c r="B64" s="1" t="n">
        <v>44431</v>
      </c>
      <c r="C64" s="1" t="n">
        <v>46202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50414-2022</t>
        </is>
      </c>
      <c r="B65" s="1" t="n">
        <v>44866</v>
      </c>
      <c r="C65" s="1" t="n">
        <v>46202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8792-2022</t>
        </is>
      </c>
      <c r="B66" s="1" t="n">
        <v>44613</v>
      </c>
      <c r="C66" s="1" t="n">
        <v>46202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46202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46202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46202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875-2022</t>
        </is>
      </c>
      <c r="B70" s="1" t="n">
        <v>44567</v>
      </c>
      <c r="C70" s="1" t="n">
        <v>46202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42554-2021</t>
        </is>
      </c>
      <c r="B71" s="1" t="n">
        <v>44427</v>
      </c>
      <c r="C71" s="1" t="n">
        <v>46202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28338-2022</t>
        </is>
      </c>
      <c r="B72" s="1" t="n">
        <v>44747</v>
      </c>
      <c r="C72" s="1" t="n">
        <v>46202</v>
      </c>
      <c r="D72" t="inlineStr">
        <is>
          <t>BLEKINGE LÄN</t>
        </is>
      </c>
      <c r="E72" t="inlineStr">
        <is>
          <t>OLOFSTRÖM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8761-2022</t>
        </is>
      </c>
      <c r="B73" s="1" t="n">
        <v>44613</v>
      </c>
      <c r="C73" s="1" t="n">
        <v>46202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8772-2022</t>
        </is>
      </c>
      <c r="B74" s="1" t="n">
        <v>44613</v>
      </c>
      <c r="C74" s="1" t="n">
        <v>46202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8799-2022</t>
        </is>
      </c>
      <c r="B75" s="1" t="n">
        <v>44613</v>
      </c>
      <c r="C75" s="1" t="n">
        <v>46202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38707-2021</t>
        </is>
      </c>
      <c r="B76" s="1" t="n">
        <v>44410</v>
      </c>
      <c r="C76" s="1" t="n">
        <v>46202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8321-2022</t>
        </is>
      </c>
      <c r="B77" s="1" t="n">
        <v>44610</v>
      </c>
      <c r="C77" s="1" t="n">
        <v>46202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11729-2022</t>
        </is>
      </c>
      <c r="B78" s="1" t="n">
        <v>44634</v>
      </c>
      <c r="C78" s="1" t="n">
        <v>46202</v>
      </c>
      <c r="D78" t="inlineStr">
        <is>
          <t>BLEKINGE LÄN</t>
        </is>
      </c>
      <c r="E78" t="inlineStr">
        <is>
          <t>OLOFSTRÖM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41178-2021</t>
        </is>
      </c>
      <c r="B79" s="1" t="n">
        <v>44421</v>
      </c>
      <c r="C79" s="1" t="n">
        <v>46202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45594-2021</t>
        </is>
      </c>
      <c r="B80" s="1" t="n">
        <v>44440</v>
      </c>
      <c r="C80" s="1" t="n">
        <v>46202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60644-2021</t>
        </is>
      </c>
      <c r="B81" s="1" t="n">
        <v>44496</v>
      </c>
      <c r="C81" s="1" t="n">
        <v>46202</v>
      </c>
      <c r="D81" t="inlineStr">
        <is>
          <t>BLEKINGE LÄN</t>
        </is>
      </c>
      <c r="E81" t="inlineStr">
        <is>
          <t>OLOFSTRÖM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39871-2023</t>
        </is>
      </c>
      <c r="B82" s="1" t="n">
        <v>45166</v>
      </c>
      <c r="C82" s="1" t="n">
        <v>46202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49894-2024</t>
        </is>
      </c>
      <c r="B83" s="1" t="n">
        <v>45597</v>
      </c>
      <c r="C83" s="1" t="n">
        <v>46202</v>
      </c>
      <c r="D83" t="inlineStr">
        <is>
          <t>BLEKINGE LÄN</t>
        </is>
      </c>
      <c r="E83" t="inlineStr">
        <is>
          <t>OLOFSTRÖM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41640-2024</t>
        </is>
      </c>
      <c r="B84" s="1" t="n">
        <v>45560</v>
      </c>
      <c r="C84" s="1" t="n">
        <v>46202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55999-2024</t>
        </is>
      </c>
      <c r="B85" s="1" t="n">
        <v>45623</v>
      </c>
      <c r="C85" s="1" t="n">
        <v>46202</v>
      </c>
      <c r="D85" t="inlineStr">
        <is>
          <t>BLEKINGE LÄN</t>
        </is>
      </c>
      <c r="E85" t="inlineStr">
        <is>
          <t>OLOFSTRÖM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38439-2023</t>
        </is>
      </c>
      <c r="B86" s="1" t="n">
        <v>45162</v>
      </c>
      <c r="C86" s="1" t="n">
        <v>46202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62698-2023</t>
        </is>
      </c>
      <c r="B87" s="1" t="n">
        <v>45268</v>
      </c>
      <c r="C87" s="1" t="n">
        <v>46202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42431-2023</t>
        </is>
      </c>
      <c r="B88" s="1" t="n">
        <v>45180</v>
      </c>
      <c r="C88" s="1" t="n">
        <v>46202</v>
      </c>
      <c r="D88" t="inlineStr">
        <is>
          <t>BLEKINGE LÄN</t>
        </is>
      </c>
      <c r="E88" t="inlineStr">
        <is>
          <t>OLOFSTRÖM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40284-2023</t>
        </is>
      </c>
      <c r="B89" s="1" t="n">
        <v>45169</v>
      </c>
      <c r="C89" s="1" t="n">
        <v>46202</v>
      </c>
      <c r="D89" t="inlineStr">
        <is>
          <t>BLEKINGE LÄN</t>
        </is>
      </c>
      <c r="E89" t="inlineStr">
        <is>
          <t>OLOFSTRÖM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51460-2023</t>
        </is>
      </c>
      <c r="B90" s="1" t="n">
        <v>45221</v>
      </c>
      <c r="C90" s="1" t="n">
        <v>46202</v>
      </c>
      <c r="D90" t="inlineStr">
        <is>
          <t>BLEKINGE LÄN</t>
        </is>
      </c>
      <c r="E90" t="inlineStr">
        <is>
          <t>OLOFSTRÖM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46531-2023</t>
        </is>
      </c>
      <c r="B91" s="1" t="n">
        <v>45197</v>
      </c>
      <c r="C91" s="1" t="n">
        <v>46202</v>
      </c>
      <c r="D91" t="inlineStr">
        <is>
          <t>BLEKINGE LÄN</t>
        </is>
      </c>
      <c r="E91" t="inlineStr">
        <is>
          <t>OLOFSTRÖM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3203-2022</t>
        </is>
      </c>
      <c r="B92" s="1" t="n">
        <v>44582</v>
      </c>
      <c r="C92" s="1" t="n">
        <v>46202</v>
      </c>
      <c r="D92" t="inlineStr">
        <is>
          <t>BLEKINGE LÄN</t>
        </is>
      </c>
      <c r="E92" t="inlineStr">
        <is>
          <t>OLOFSTRÖM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47774-2023</t>
        </is>
      </c>
      <c r="B93" s="1" t="n">
        <v>45203</v>
      </c>
      <c r="C93" s="1" t="n">
        <v>46202</v>
      </c>
      <c r="D93" t="inlineStr">
        <is>
          <t>BLEKINGE LÄN</t>
        </is>
      </c>
      <c r="E93" t="inlineStr">
        <is>
          <t>OLOFSTRÖM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64810-2023</t>
        </is>
      </c>
      <c r="B94" s="1" t="n">
        <v>45282</v>
      </c>
      <c r="C94" s="1" t="n">
        <v>46202</v>
      </c>
      <c r="D94" t="inlineStr">
        <is>
          <t>BLEKINGE LÄN</t>
        </is>
      </c>
      <c r="E94" t="inlineStr">
        <is>
          <t>OLOFSTRÖM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21090-2022</t>
        </is>
      </c>
      <c r="B95" s="1" t="n">
        <v>44704</v>
      </c>
      <c r="C95" s="1" t="n">
        <v>46202</v>
      </c>
      <c r="D95" t="inlineStr">
        <is>
          <t>BLEKINGE LÄN</t>
        </is>
      </c>
      <c r="E95" t="inlineStr">
        <is>
          <t>OLOFSTRÖM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63423-2023</t>
        </is>
      </c>
      <c r="B96" s="1" t="n">
        <v>45274</v>
      </c>
      <c r="C96" s="1" t="n">
        <v>46202</v>
      </c>
      <c r="D96" t="inlineStr">
        <is>
          <t>BLEKINGE LÄN</t>
        </is>
      </c>
      <c r="E96" t="inlineStr">
        <is>
          <t>OLOFSTRÖM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56072-2023</t>
        </is>
      </c>
      <c r="B97" s="1" t="n">
        <v>45233</v>
      </c>
      <c r="C97" s="1" t="n">
        <v>46202</v>
      </c>
      <c r="D97" t="inlineStr">
        <is>
          <t>BLEKINGE LÄN</t>
        </is>
      </c>
      <c r="E97" t="inlineStr">
        <is>
          <t>OLOFSTRÖM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36076-2024</t>
        </is>
      </c>
      <c r="B98" s="1" t="n">
        <v>45533</v>
      </c>
      <c r="C98" s="1" t="n">
        <v>46202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39058-2024</t>
        </is>
      </c>
      <c r="B99" s="1" t="n">
        <v>45548</v>
      </c>
      <c r="C99" s="1" t="n">
        <v>46202</v>
      </c>
      <c r="D99" t="inlineStr">
        <is>
          <t>BLEKINGE LÄN</t>
        </is>
      </c>
      <c r="E99" t="inlineStr">
        <is>
          <t>OLOFSTRÖM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6676-2025</t>
        </is>
      </c>
      <c r="B100" s="1" t="n">
        <v>45700</v>
      </c>
      <c r="C100" s="1" t="n">
        <v>46202</v>
      </c>
      <c r="D100" t="inlineStr">
        <is>
          <t>BLEKINGE LÄN</t>
        </is>
      </c>
      <c r="E100" t="inlineStr">
        <is>
          <t>OLOFSTRÖM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62919-2023</t>
        </is>
      </c>
      <c r="B101" s="1" t="n">
        <v>45271</v>
      </c>
      <c r="C101" s="1" t="n">
        <v>46202</v>
      </c>
      <c r="D101" t="inlineStr">
        <is>
          <t>BLEKINGE LÄN</t>
        </is>
      </c>
      <c r="E101" t="inlineStr">
        <is>
          <t>OLOFSTRÖM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73654-2021</t>
        </is>
      </c>
      <c r="B102" s="1" t="n">
        <v>44552</v>
      </c>
      <c r="C102" s="1" t="n">
        <v>46202</v>
      </c>
      <c r="D102" t="inlineStr">
        <is>
          <t>BLEKINGE LÄN</t>
        </is>
      </c>
      <c r="E102" t="inlineStr">
        <is>
          <t>OLOFSTRÖM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39108-2024</t>
        </is>
      </c>
      <c r="B103" s="1" t="n">
        <v>45548</v>
      </c>
      <c r="C103" s="1" t="n">
        <v>46202</v>
      </c>
      <c r="D103" t="inlineStr">
        <is>
          <t>BLEKINGE LÄN</t>
        </is>
      </c>
      <c r="E103" t="inlineStr">
        <is>
          <t>OLOFSTRÖM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53605-2024</t>
        </is>
      </c>
      <c r="B104" s="1" t="n">
        <v>45614</v>
      </c>
      <c r="C104" s="1" t="n">
        <v>46202</v>
      </c>
      <c r="D104" t="inlineStr">
        <is>
          <t>BLEKINGE LÄN</t>
        </is>
      </c>
      <c r="E104" t="inlineStr">
        <is>
          <t>OLOFSTRÖM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6296-2025</t>
        </is>
      </c>
      <c r="B105" s="1" t="n">
        <v>45698</v>
      </c>
      <c r="C105" s="1" t="n">
        <v>46202</v>
      </c>
      <c r="D105" t="inlineStr">
        <is>
          <t>BLEKINGE LÄN</t>
        </is>
      </c>
      <c r="E105" t="inlineStr">
        <is>
          <t>OLOFSTRÖM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32899-2024</t>
        </is>
      </c>
      <c r="B106" s="1" t="n">
        <v>45516</v>
      </c>
      <c r="C106" s="1" t="n">
        <v>46202</v>
      </c>
      <c r="D106" t="inlineStr">
        <is>
          <t>BLEKINGE LÄN</t>
        </is>
      </c>
      <c r="E106" t="inlineStr">
        <is>
          <t>OLOFSTRÖM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13195-2023</t>
        </is>
      </c>
      <c r="B107" s="1" t="n">
        <v>45002</v>
      </c>
      <c r="C107" s="1" t="n">
        <v>46202</v>
      </c>
      <c r="D107" t="inlineStr">
        <is>
          <t>BLEKINGE LÄN</t>
        </is>
      </c>
      <c r="E107" t="inlineStr">
        <is>
          <t>OLOFSTRÖM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42300-2023</t>
        </is>
      </c>
      <c r="B108" s="1" t="n">
        <v>45180</v>
      </c>
      <c r="C108" s="1" t="n">
        <v>46202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42736-2022</t>
        </is>
      </c>
      <c r="B109" s="1" t="n">
        <v>44832</v>
      </c>
      <c r="C109" s="1" t="n">
        <v>46202</v>
      </c>
      <c r="D109" t="inlineStr">
        <is>
          <t>BLEKINGE LÄN</t>
        </is>
      </c>
      <c r="E109" t="inlineStr">
        <is>
          <t>OLOFSTRÖM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2885-2022</t>
        </is>
      </c>
      <c r="B110" s="1" t="n">
        <v>44581</v>
      </c>
      <c r="C110" s="1" t="n">
        <v>46202</v>
      </c>
      <c r="D110" t="inlineStr">
        <is>
          <t>BLEKINGE LÄN</t>
        </is>
      </c>
      <c r="E110" t="inlineStr">
        <is>
          <t>OLOFSTRÖM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57675-2023</t>
        </is>
      </c>
      <c r="B111" s="1" t="n">
        <v>45246</v>
      </c>
      <c r="C111" s="1" t="n">
        <v>46202</v>
      </c>
      <c r="D111" t="inlineStr">
        <is>
          <t>BLEKINGE LÄN</t>
        </is>
      </c>
      <c r="E111" t="inlineStr">
        <is>
          <t>OLOFSTRÖM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54513-2021</t>
        </is>
      </c>
      <c r="B112" s="1" t="n">
        <v>44473</v>
      </c>
      <c r="C112" s="1" t="n">
        <v>46202</v>
      </c>
      <c r="D112" t="inlineStr">
        <is>
          <t>BLEKINGE LÄN</t>
        </is>
      </c>
      <c r="E112" t="inlineStr">
        <is>
          <t>OLOFSTRÖM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69510-2021</t>
        </is>
      </c>
      <c r="B113" s="1" t="n">
        <v>44531</v>
      </c>
      <c r="C113" s="1" t="n">
        <v>46202</v>
      </c>
      <c r="D113" t="inlineStr">
        <is>
          <t>BLEKINGE LÄN</t>
        </is>
      </c>
      <c r="E113" t="inlineStr">
        <is>
          <t>OLOFSTRÖM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2300-2023</t>
        </is>
      </c>
      <c r="B114" s="1" t="n">
        <v>44942</v>
      </c>
      <c r="C114" s="1" t="n">
        <v>46202</v>
      </c>
      <c r="D114" t="inlineStr">
        <is>
          <t>BLEKINGE LÄN</t>
        </is>
      </c>
      <c r="E114" t="inlineStr">
        <is>
          <t>OLOFSTRÖM</t>
        </is>
      </c>
      <c r="F114" t="inlineStr">
        <is>
          <t>Kommuner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18492-2022</t>
        </is>
      </c>
      <c r="B115" s="1" t="n">
        <v>44686</v>
      </c>
      <c r="C115" s="1" t="n">
        <v>46202</v>
      </c>
      <c r="D115" t="inlineStr">
        <is>
          <t>BLEKINGE LÄN</t>
        </is>
      </c>
      <c r="E115" t="inlineStr">
        <is>
          <t>OLOFSTRÖM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3735-2023</t>
        </is>
      </c>
      <c r="B116" s="1" t="n">
        <v>44951</v>
      </c>
      <c r="C116" s="1" t="n">
        <v>46202</v>
      </c>
      <c r="D116" t="inlineStr">
        <is>
          <t>BLEKINGE LÄN</t>
        </is>
      </c>
      <c r="E116" t="inlineStr">
        <is>
          <t>OLOFSTRÖM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8043-2025</t>
        </is>
      </c>
      <c r="B117" s="1" t="n">
        <v>45707</v>
      </c>
      <c r="C117" s="1" t="n">
        <v>46202</v>
      </c>
      <c r="D117" t="inlineStr">
        <is>
          <t>BLEKINGE LÄN</t>
        </is>
      </c>
      <c r="E117" t="inlineStr">
        <is>
          <t>OLOFSTRÖM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39775-2024</t>
        </is>
      </c>
      <c r="B118" s="1" t="n">
        <v>45552</v>
      </c>
      <c r="C118" s="1" t="n">
        <v>46202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61123-2024</t>
        </is>
      </c>
      <c r="B119" s="1" t="n">
        <v>45645</v>
      </c>
      <c r="C119" s="1" t="n">
        <v>46202</v>
      </c>
      <c r="D119" t="inlineStr">
        <is>
          <t>BLEKINGE LÄN</t>
        </is>
      </c>
      <c r="E119" t="inlineStr">
        <is>
          <t>OLOFSTRÖM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39882-2023</t>
        </is>
      </c>
      <c r="B120" s="1" t="n">
        <v>45166</v>
      </c>
      <c r="C120" s="1" t="n">
        <v>46202</v>
      </c>
      <c r="D120" t="inlineStr">
        <is>
          <t>BLEKINGE LÄN</t>
        </is>
      </c>
      <c r="E120" t="inlineStr">
        <is>
          <t>OLOFSTRÖM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56010-2022</t>
        </is>
      </c>
      <c r="B121" s="1" t="n">
        <v>44889</v>
      </c>
      <c r="C121" s="1" t="n">
        <v>46202</v>
      </c>
      <c r="D121" t="inlineStr">
        <is>
          <t>BLEKINGE LÄN</t>
        </is>
      </c>
      <c r="E121" t="inlineStr">
        <is>
          <t>OLOFSTRÖM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49706-2021</t>
        </is>
      </c>
      <c r="B122" s="1" t="n">
        <v>44455</v>
      </c>
      <c r="C122" s="1" t="n">
        <v>46202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15348-2025</t>
        </is>
      </c>
      <c r="B123" s="1" t="n">
        <v>45747</v>
      </c>
      <c r="C123" s="1" t="n">
        <v>46202</v>
      </c>
      <c r="D123" t="inlineStr">
        <is>
          <t>BLEKINGE LÄN</t>
        </is>
      </c>
      <c r="E123" t="inlineStr">
        <is>
          <t>OLOFSTRÖM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15354-2025</t>
        </is>
      </c>
      <c r="B124" s="1" t="n">
        <v>45747</v>
      </c>
      <c r="C124" s="1" t="n">
        <v>46202</v>
      </c>
      <c r="D124" t="inlineStr">
        <is>
          <t>BLEKINGE LÄN</t>
        </is>
      </c>
      <c r="E124" t="inlineStr">
        <is>
          <t>OLOFSTRÖM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34310-2021</t>
        </is>
      </c>
      <c r="B125" s="1" t="n">
        <v>44379</v>
      </c>
      <c r="C125" s="1" t="n">
        <v>46202</v>
      </c>
      <c r="D125" t="inlineStr">
        <is>
          <t>BLEKINGE LÄN</t>
        </is>
      </c>
      <c r="E125" t="inlineStr">
        <is>
          <t>OLOFSTRÖM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5551-2025</t>
        </is>
      </c>
      <c r="B126" s="1" t="n">
        <v>45693</v>
      </c>
      <c r="C126" s="1" t="n">
        <v>46202</v>
      </c>
      <c r="D126" t="inlineStr">
        <is>
          <t>BLEKINGE LÄN</t>
        </is>
      </c>
      <c r="E126" t="inlineStr">
        <is>
          <t>OLOFSTRÖM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53182-2022</t>
        </is>
      </c>
      <c r="B127" s="1" t="n">
        <v>44876</v>
      </c>
      <c r="C127" s="1" t="n">
        <v>46202</v>
      </c>
      <c r="D127" t="inlineStr">
        <is>
          <t>BLEKINGE LÄN</t>
        </is>
      </c>
      <c r="E127" t="inlineStr">
        <is>
          <t>OLOFSTRÖM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17532-2023</t>
        </is>
      </c>
      <c r="B128" s="1" t="n">
        <v>45036</v>
      </c>
      <c r="C128" s="1" t="n">
        <v>46202</v>
      </c>
      <c r="D128" t="inlineStr">
        <is>
          <t>BLEKINGE LÄN</t>
        </is>
      </c>
      <c r="E128" t="inlineStr">
        <is>
          <t>OLOFSTRÖM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4735-2022</t>
        </is>
      </c>
      <c r="B129" s="1" t="n">
        <v>44592</v>
      </c>
      <c r="C129" s="1" t="n">
        <v>46202</v>
      </c>
      <c r="D129" t="inlineStr">
        <is>
          <t>BLEKINGE LÄN</t>
        </is>
      </c>
      <c r="E129" t="inlineStr">
        <is>
          <t>OLOFSTRÖM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10248-2022</t>
        </is>
      </c>
      <c r="B130" s="1" t="n">
        <v>44622</v>
      </c>
      <c r="C130" s="1" t="n">
        <v>46202</v>
      </c>
      <c r="D130" t="inlineStr">
        <is>
          <t>BLEKINGE LÄN</t>
        </is>
      </c>
      <c r="E130" t="inlineStr">
        <is>
          <t>OLOFSTRÖM</t>
        </is>
      </c>
      <c r="G130" t="n">
        <v>18.4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31294-2023</t>
        </is>
      </c>
      <c r="B131" s="1" t="n">
        <v>45114</v>
      </c>
      <c r="C131" s="1" t="n">
        <v>46202</v>
      </c>
      <c r="D131" t="inlineStr">
        <is>
          <t>BLEKINGE LÄN</t>
        </is>
      </c>
      <c r="E131" t="inlineStr">
        <is>
          <t>OLOFSTRÖM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56107-2023</t>
        </is>
      </c>
      <c r="B132" s="1" t="n">
        <v>45233</v>
      </c>
      <c r="C132" s="1" t="n">
        <v>46202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73259-2021</t>
        </is>
      </c>
      <c r="B133" s="1" t="n">
        <v>44550</v>
      </c>
      <c r="C133" s="1" t="n">
        <v>46202</v>
      </c>
      <c r="D133" t="inlineStr">
        <is>
          <t>BLEKINGE LÄN</t>
        </is>
      </c>
      <c r="E133" t="inlineStr">
        <is>
          <t>OLOFSTRÖM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1015-2023</t>
        </is>
      </c>
      <c r="B134" s="1" t="n">
        <v>44935</v>
      </c>
      <c r="C134" s="1" t="n">
        <v>46202</v>
      </c>
      <c r="D134" t="inlineStr">
        <is>
          <t>BLEKINGE LÄN</t>
        </is>
      </c>
      <c r="E134" t="inlineStr">
        <is>
          <t>OLOFSTRÖM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30509-2023</t>
        </is>
      </c>
      <c r="B135" s="1" t="n">
        <v>45111</v>
      </c>
      <c r="C135" s="1" t="n">
        <v>46202</v>
      </c>
      <c r="D135" t="inlineStr">
        <is>
          <t>BLEKINGE LÄN</t>
        </is>
      </c>
      <c r="E135" t="inlineStr">
        <is>
          <t>OLOFSTRÖM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38956-2023</t>
        </is>
      </c>
      <c r="B136" s="1" t="n">
        <v>45163</v>
      </c>
      <c r="C136" s="1" t="n">
        <v>46202</v>
      </c>
      <c r="D136" t="inlineStr">
        <is>
          <t>BLEKINGE LÄN</t>
        </is>
      </c>
      <c r="E136" t="inlineStr">
        <is>
          <t>OLOFSTRÖM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33577-2022</t>
        </is>
      </c>
      <c r="B137" s="1" t="n">
        <v>44789</v>
      </c>
      <c r="C137" s="1" t="n">
        <v>46202</v>
      </c>
      <c r="D137" t="inlineStr">
        <is>
          <t>BLEKINGE LÄN</t>
        </is>
      </c>
      <c r="E137" t="inlineStr">
        <is>
          <t>OLOFSTRÖM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47892-2023</t>
        </is>
      </c>
      <c r="B138" s="1" t="n">
        <v>45198</v>
      </c>
      <c r="C138" s="1" t="n">
        <v>46202</v>
      </c>
      <c r="D138" t="inlineStr">
        <is>
          <t>BLEKINGE LÄN</t>
        </is>
      </c>
      <c r="E138" t="inlineStr">
        <is>
          <t>OLOFSTRÖM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49298-2022</t>
        </is>
      </c>
      <c r="B139" s="1" t="n">
        <v>44858</v>
      </c>
      <c r="C139" s="1" t="n">
        <v>46202</v>
      </c>
      <c r="D139" t="inlineStr">
        <is>
          <t>BLEKINGE LÄN</t>
        </is>
      </c>
      <c r="E139" t="inlineStr">
        <is>
          <t>OLOFSTRÖM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52208-2024</t>
        </is>
      </c>
      <c r="B140" s="1" t="n">
        <v>45608</v>
      </c>
      <c r="C140" s="1" t="n">
        <v>46202</v>
      </c>
      <c r="D140" t="inlineStr">
        <is>
          <t>BLEKINGE LÄN</t>
        </is>
      </c>
      <c r="E140" t="inlineStr">
        <is>
          <t>OLOFSTRÖM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14659-2025</t>
        </is>
      </c>
      <c r="B141" s="1" t="n">
        <v>45742</v>
      </c>
      <c r="C141" s="1" t="n">
        <v>46202</v>
      </c>
      <c r="D141" t="inlineStr">
        <is>
          <t>BLEKINGE LÄN</t>
        </is>
      </c>
      <c r="E141" t="inlineStr">
        <is>
          <t>OLOFSTRÖM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46921-2024</t>
        </is>
      </c>
      <c r="B142" s="1" t="n">
        <v>45583</v>
      </c>
      <c r="C142" s="1" t="n">
        <v>46202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62734-2023</t>
        </is>
      </c>
      <c r="B143" s="1" t="n">
        <v>45268</v>
      </c>
      <c r="C143" s="1" t="n">
        <v>46202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43287-2023</t>
        </is>
      </c>
      <c r="B144" s="1" t="n">
        <v>45183</v>
      </c>
      <c r="C144" s="1" t="n">
        <v>46202</v>
      </c>
      <c r="D144" t="inlineStr">
        <is>
          <t>BLEKINGE LÄN</t>
        </is>
      </c>
      <c r="E144" t="inlineStr">
        <is>
          <t>OLOFSTRÖM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57238-2024</t>
        </is>
      </c>
      <c r="B145" s="1" t="n">
        <v>45629</v>
      </c>
      <c r="C145" s="1" t="n">
        <v>46202</v>
      </c>
      <c r="D145" t="inlineStr">
        <is>
          <t>BLEKINGE LÄN</t>
        </is>
      </c>
      <c r="E145" t="inlineStr">
        <is>
          <t>OLOFSTRÖM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11071-2023</t>
        </is>
      </c>
      <c r="B146" s="1" t="n">
        <v>44992</v>
      </c>
      <c r="C146" s="1" t="n">
        <v>46202</v>
      </c>
      <c r="D146" t="inlineStr">
        <is>
          <t>BLEKINGE LÄN</t>
        </is>
      </c>
      <c r="E146" t="inlineStr">
        <is>
          <t>OLOFSTRÖM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22717-2023</t>
        </is>
      </c>
      <c r="B147" s="1" t="n">
        <v>45071</v>
      </c>
      <c r="C147" s="1" t="n">
        <v>46202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17017-2025</t>
        </is>
      </c>
      <c r="B148" s="1" t="n">
        <v>45755</v>
      </c>
      <c r="C148" s="1" t="n">
        <v>46202</v>
      </c>
      <c r="D148" t="inlineStr">
        <is>
          <t>BLEKINGE LÄN</t>
        </is>
      </c>
      <c r="E148" t="inlineStr">
        <is>
          <t>OLOFSTRÖM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39880-2023</t>
        </is>
      </c>
      <c r="B149" s="1" t="n">
        <v>45168</v>
      </c>
      <c r="C149" s="1" t="n">
        <v>46202</v>
      </c>
      <c r="D149" t="inlineStr">
        <is>
          <t>BLEKINGE LÄN</t>
        </is>
      </c>
      <c r="E149" t="inlineStr">
        <is>
          <t>OLOFSTRÖM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8041-2025</t>
        </is>
      </c>
      <c r="B150" s="1" t="n">
        <v>45707</v>
      </c>
      <c r="C150" s="1" t="n">
        <v>46202</v>
      </c>
      <c r="D150" t="inlineStr">
        <is>
          <t>BLEKINGE LÄN</t>
        </is>
      </c>
      <c r="E150" t="inlineStr">
        <is>
          <t>OLOFSTRÖM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8060-2025</t>
        </is>
      </c>
      <c r="B151" s="1" t="n">
        <v>45707</v>
      </c>
      <c r="C151" s="1" t="n">
        <v>46202</v>
      </c>
      <c r="D151" t="inlineStr">
        <is>
          <t>BLEKINGE LÄN</t>
        </is>
      </c>
      <c r="E151" t="inlineStr">
        <is>
          <t>OLOFSTRÖM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40749-2021</t>
        </is>
      </c>
      <c r="B152" s="1" t="n">
        <v>44420</v>
      </c>
      <c r="C152" s="1" t="n">
        <v>46202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15464-2024</t>
        </is>
      </c>
      <c r="B153" s="1" t="n">
        <v>45401</v>
      </c>
      <c r="C153" s="1" t="n">
        <v>46202</v>
      </c>
      <c r="D153" t="inlineStr">
        <is>
          <t>BLEKINGE LÄN</t>
        </is>
      </c>
      <c r="E153" t="inlineStr">
        <is>
          <t>OLOFSTRÖM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61802-2023</t>
        </is>
      </c>
      <c r="B154" s="1" t="n">
        <v>45265</v>
      </c>
      <c r="C154" s="1" t="n">
        <v>46202</v>
      </c>
      <c r="D154" t="inlineStr">
        <is>
          <t>BLEKINGE LÄN</t>
        </is>
      </c>
      <c r="E154" t="inlineStr">
        <is>
          <t>OLOFSTRÖM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45473-2024</t>
        </is>
      </c>
      <c r="B155" s="1" t="n">
        <v>45576</v>
      </c>
      <c r="C155" s="1" t="n">
        <v>46202</v>
      </c>
      <c r="D155" t="inlineStr">
        <is>
          <t>BLEKINGE LÄN</t>
        </is>
      </c>
      <c r="E155" t="inlineStr">
        <is>
          <t>OLOFSTRÖM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48846-2024</t>
        </is>
      </c>
      <c r="B156" s="1" t="n">
        <v>45593</v>
      </c>
      <c r="C156" s="1" t="n">
        <v>46202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65026-2023</t>
        </is>
      </c>
      <c r="B157" s="1" t="n">
        <v>45282</v>
      </c>
      <c r="C157" s="1" t="n">
        <v>46202</v>
      </c>
      <c r="D157" t="inlineStr">
        <is>
          <t>BLEKINGE LÄN</t>
        </is>
      </c>
      <c r="E157" t="inlineStr">
        <is>
          <t>OLOFSTRÖM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52067-2022</t>
        </is>
      </c>
      <c r="B158" s="1" t="n">
        <v>44873</v>
      </c>
      <c r="C158" s="1" t="n">
        <v>46202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49389-2024</t>
        </is>
      </c>
      <c r="B159" s="1" t="n">
        <v>45595</v>
      </c>
      <c r="C159" s="1" t="n">
        <v>46202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57910-2023</t>
        </is>
      </c>
      <c r="B160" s="1" t="n">
        <v>45247</v>
      </c>
      <c r="C160" s="1" t="n">
        <v>46202</v>
      </c>
      <c r="D160" t="inlineStr">
        <is>
          <t>BLEKINGE LÄN</t>
        </is>
      </c>
      <c r="E160" t="inlineStr">
        <is>
          <t>OLOFSTRÖM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57915-2023</t>
        </is>
      </c>
      <c r="B161" s="1" t="n">
        <v>45247</v>
      </c>
      <c r="C161" s="1" t="n">
        <v>46202</v>
      </c>
      <c r="D161" t="inlineStr">
        <is>
          <t>BLEKINGE LÄN</t>
        </is>
      </c>
      <c r="E161" t="inlineStr">
        <is>
          <t>OLOFSTRÖM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10717-2022</t>
        </is>
      </c>
      <c r="B162" s="1" t="n">
        <v>44626</v>
      </c>
      <c r="C162" s="1" t="n">
        <v>46202</v>
      </c>
      <c r="D162" t="inlineStr">
        <is>
          <t>BLEKINGE LÄN</t>
        </is>
      </c>
      <c r="E162" t="inlineStr">
        <is>
          <t>OLOFSTRÖM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63441-2023</t>
        </is>
      </c>
      <c r="B163" s="1" t="n">
        <v>45274</v>
      </c>
      <c r="C163" s="1" t="n">
        <v>46202</v>
      </c>
      <c r="D163" t="inlineStr">
        <is>
          <t>BLEKINGE LÄN</t>
        </is>
      </c>
      <c r="E163" t="inlineStr">
        <is>
          <t>OLOFSTRÖM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3429-2023</t>
        </is>
      </c>
      <c r="B164" s="1" t="n">
        <v>44949</v>
      </c>
      <c r="C164" s="1" t="n">
        <v>46202</v>
      </c>
      <c r="D164" t="inlineStr">
        <is>
          <t>BLEKINGE LÄN</t>
        </is>
      </c>
      <c r="E164" t="inlineStr">
        <is>
          <t>OLOFSTRÖM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49704-2021</t>
        </is>
      </c>
      <c r="B165" s="1" t="n">
        <v>44455</v>
      </c>
      <c r="C165" s="1" t="n">
        <v>46202</v>
      </c>
      <c r="D165" t="inlineStr">
        <is>
          <t>BLEKINGE LÄN</t>
        </is>
      </c>
      <c r="E165" t="inlineStr">
        <is>
          <t>OLOFSTRÖM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39876-2023</t>
        </is>
      </c>
      <c r="B166" s="1" t="n">
        <v>45166</v>
      </c>
      <c r="C166" s="1" t="n">
        <v>46202</v>
      </c>
      <c r="D166" t="inlineStr">
        <is>
          <t>BLEKINGE LÄN</t>
        </is>
      </c>
      <c r="E166" t="inlineStr">
        <is>
          <t>OLOFSTRÖM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50412-2022</t>
        </is>
      </c>
      <c r="B167" s="1" t="n">
        <v>44866</v>
      </c>
      <c r="C167" s="1" t="n">
        <v>46202</v>
      </c>
      <c r="D167" t="inlineStr">
        <is>
          <t>BLEKINGE LÄN</t>
        </is>
      </c>
      <c r="E167" t="inlineStr">
        <is>
          <t>OLOFSTRÖM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14437-2023</t>
        </is>
      </c>
      <c r="B168" s="1" t="n">
        <v>45012</v>
      </c>
      <c r="C168" s="1" t="n">
        <v>46202</v>
      </c>
      <c r="D168" t="inlineStr">
        <is>
          <t>BLEKINGE LÄN</t>
        </is>
      </c>
      <c r="E168" t="inlineStr">
        <is>
          <t>OLOFSTRÖM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52689-2023</t>
        </is>
      </c>
      <c r="B169" s="1" t="n">
        <v>45225</v>
      </c>
      <c r="C169" s="1" t="n">
        <v>46202</v>
      </c>
      <c r="D169" t="inlineStr">
        <is>
          <t>BLEKINGE LÄN</t>
        </is>
      </c>
      <c r="E169" t="inlineStr">
        <is>
          <t>OLOFSTRÖM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21048-2022</t>
        </is>
      </c>
      <c r="B170" s="1" t="n">
        <v>44704</v>
      </c>
      <c r="C170" s="1" t="n">
        <v>46202</v>
      </c>
      <c r="D170" t="inlineStr">
        <is>
          <t>BLEKINGE LÄN</t>
        </is>
      </c>
      <c r="E170" t="inlineStr">
        <is>
          <t>OLOFSTRÖM</t>
        </is>
      </c>
      <c r="F170" t="inlineStr">
        <is>
          <t>Övriga Aktiebolag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7465-2023</t>
        </is>
      </c>
      <c r="B171" s="1" t="n">
        <v>44971</v>
      </c>
      <c r="C171" s="1" t="n">
        <v>46202</v>
      </c>
      <c r="D171" t="inlineStr">
        <is>
          <t>BLEKINGE LÄN</t>
        </is>
      </c>
      <c r="E171" t="inlineStr">
        <is>
          <t>OLOFSTRÖM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63392-2023</t>
        </is>
      </c>
      <c r="B172" s="1" t="n">
        <v>45274</v>
      </c>
      <c r="C172" s="1" t="n">
        <v>46202</v>
      </c>
      <c r="D172" t="inlineStr">
        <is>
          <t>BLEKINGE LÄN</t>
        </is>
      </c>
      <c r="E172" t="inlineStr">
        <is>
          <t>OLOFSTRÖM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63393-2023</t>
        </is>
      </c>
      <c r="B173" s="1" t="n">
        <v>45274</v>
      </c>
      <c r="C173" s="1" t="n">
        <v>46202</v>
      </c>
      <c r="D173" t="inlineStr">
        <is>
          <t>BLEKINGE LÄN</t>
        </is>
      </c>
      <c r="E173" t="inlineStr">
        <is>
          <t>OLOFSTRÖM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47195-2021</t>
        </is>
      </c>
      <c r="B174" s="1" t="n">
        <v>44447</v>
      </c>
      <c r="C174" s="1" t="n">
        <v>46202</v>
      </c>
      <c r="D174" t="inlineStr">
        <is>
          <t>BLEKINGE LÄN</t>
        </is>
      </c>
      <c r="E174" t="inlineStr">
        <is>
          <t>OLOFSTRÖM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38973-2024</t>
        </is>
      </c>
      <c r="B175" s="1" t="n">
        <v>45548</v>
      </c>
      <c r="C175" s="1" t="n">
        <v>46202</v>
      </c>
      <c r="D175" t="inlineStr">
        <is>
          <t>BLEKINGE LÄN</t>
        </is>
      </c>
      <c r="E175" t="inlineStr">
        <is>
          <t>OLOFSTRÖM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46361-2023</t>
        </is>
      </c>
      <c r="B176" s="1" t="n">
        <v>45197</v>
      </c>
      <c r="C176" s="1" t="n">
        <v>46202</v>
      </c>
      <c r="D176" t="inlineStr">
        <is>
          <t>BLEKINGE LÄN</t>
        </is>
      </c>
      <c r="E176" t="inlineStr">
        <is>
          <t>OLOFSTRÖM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53459-2021</t>
        </is>
      </c>
      <c r="B177" s="1" t="n">
        <v>44468</v>
      </c>
      <c r="C177" s="1" t="n">
        <v>46202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49309-2022</t>
        </is>
      </c>
      <c r="B178" s="1" t="n">
        <v>44858</v>
      </c>
      <c r="C178" s="1" t="n">
        <v>46202</v>
      </c>
      <c r="D178" t="inlineStr">
        <is>
          <t>BLEKINGE LÄN</t>
        </is>
      </c>
      <c r="E178" t="inlineStr">
        <is>
          <t>OLOFSTRÖM</t>
        </is>
      </c>
      <c r="G178" t="n">
        <v>20.5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42004-2023</t>
        </is>
      </c>
      <c r="B179" s="1" t="n">
        <v>45177</v>
      </c>
      <c r="C179" s="1" t="n">
        <v>46202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11062-2025</t>
        </is>
      </c>
      <c r="B180" s="1" t="n">
        <v>45723</v>
      </c>
      <c r="C180" s="1" t="n">
        <v>46202</v>
      </c>
      <c r="D180" t="inlineStr">
        <is>
          <t>BLEKINGE LÄN</t>
        </is>
      </c>
      <c r="E180" t="inlineStr">
        <is>
          <t>OLOFSTRÖM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39520-2024</t>
        </is>
      </c>
      <c r="B181" s="1" t="n">
        <v>45551</v>
      </c>
      <c r="C181" s="1" t="n">
        <v>46202</v>
      </c>
      <c r="D181" t="inlineStr">
        <is>
          <t>BLEKINGE LÄN</t>
        </is>
      </c>
      <c r="E181" t="inlineStr">
        <is>
          <t>OLOFSTRÖM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1028-2023</t>
        </is>
      </c>
      <c r="B182" s="1" t="n">
        <v>44935</v>
      </c>
      <c r="C182" s="1" t="n">
        <v>46202</v>
      </c>
      <c r="D182" t="inlineStr">
        <is>
          <t>BLEKINGE LÄN</t>
        </is>
      </c>
      <c r="E182" t="inlineStr">
        <is>
          <t>OLOFSTRÖM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11122-2024</t>
        </is>
      </c>
      <c r="B183" s="1" t="n">
        <v>45371</v>
      </c>
      <c r="C183" s="1" t="n">
        <v>46202</v>
      </c>
      <c r="D183" t="inlineStr">
        <is>
          <t>BLEKINGE LÄN</t>
        </is>
      </c>
      <c r="E183" t="inlineStr">
        <is>
          <t>OLOFSTRÖM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23911-2023</t>
        </is>
      </c>
      <c r="B184" s="1" t="n">
        <v>45078</v>
      </c>
      <c r="C184" s="1" t="n">
        <v>46202</v>
      </c>
      <c r="D184" t="inlineStr">
        <is>
          <t>BLEKINGE LÄN</t>
        </is>
      </c>
      <c r="E184" t="inlineStr">
        <is>
          <t>OLOFSTRÖM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7862-2025</t>
        </is>
      </c>
      <c r="B185" s="1" t="n">
        <v>45706</v>
      </c>
      <c r="C185" s="1" t="n">
        <v>46202</v>
      </c>
      <c r="D185" t="inlineStr">
        <is>
          <t>BLEKINGE LÄN</t>
        </is>
      </c>
      <c r="E185" t="inlineStr">
        <is>
          <t>OLOFSTRÖM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46584-2024</t>
        </is>
      </c>
      <c r="B186" s="1" t="n">
        <v>45582</v>
      </c>
      <c r="C186" s="1" t="n">
        <v>46202</v>
      </c>
      <c r="D186" t="inlineStr">
        <is>
          <t>BLEKINGE LÄN</t>
        </is>
      </c>
      <c r="E186" t="inlineStr">
        <is>
          <t>OLOFSTRÖM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63450-2023</t>
        </is>
      </c>
      <c r="B187" s="1" t="n">
        <v>45274</v>
      </c>
      <c r="C187" s="1" t="n">
        <v>46202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33664-2024</t>
        </is>
      </c>
      <c r="B188" s="1" t="n">
        <v>45520</v>
      </c>
      <c r="C188" s="1" t="n">
        <v>46202</v>
      </c>
      <c r="D188" t="inlineStr">
        <is>
          <t>BLEKINGE LÄN</t>
        </is>
      </c>
      <c r="E188" t="inlineStr">
        <is>
          <t>OLOFSTRÖM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33673-2024</t>
        </is>
      </c>
      <c r="B189" s="1" t="n">
        <v>45520</v>
      </c>
      <c r="C189" s="1" t="n">
        <v>46202</v>
      </c>
      <c r="D189" t="inlineStr">
        <is>
          <t>BLEKINGE LÄN</t>
        </is>
      </c>
      <c r="E189" t="inlineStr">
        <is>
          <t>OLOFSTRÖM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38005-2024</t>
        </is>
      </c>
      <c r="B190" s="1" t="n">
        <v>45544</v>
      </c>
      <c r="C190" s="1" t="n">
        <v>46202</v>
      </c>
      <c r="D190" t="inlineStr">
        <is>
          <t>BLEKINGE LÄN</t>
        </is>
      </c>
      <c r="E190" t="inlineStr">
        <is>
          <t>OLOFSTRÖM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45011-2024</t>
        </is>
      </c>
      <c r="B191" s="1" t="n">
        <v>45575</v>
      </c>
      <c r="C191" s="1" t="n">
        <v>46202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49056-2024</t>
        </is>
      </c>
      <c r="B192" s="1" t="n">
        <v>45594</v>
      </c>
      <c r="C192" s="1" t="n">
        <v>46202</v>
      </c>
      <c r="D192" t="inlineStr">
        <is>
          <t>BLEKINGE LÄN</t>
        </is>
      </c>
      <c r="E192" t="inlineStr">
        <is>
          <t>OLOFSTRÖM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37558-2022</t>
        </is>
      </c>
      <c r="B193" s="1" t="n">
        <v>44809</v>
      </c>
      <c r="C193" s="1" t="n">
        <v>46202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65030-2023</t>
        </is>
      </c>
      <c r="B194" s="1" t="n">
        <v>45282</v>
      </c>
      <c r="C194" s="1" t="n">
        <v>46202</v>
      </c>
      <c r="D194" t="inlineStr">
        <is>
          <t>BLEKINGE LÄN</t>
        </is>
      </c>
      <c r="E194" t="inlineStr">
        <is>
          <t>OLOFSTRÖM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6316-2023</t>
        </is>
      </c>
      <c r="B195" s="1" t="n">
        <v>44965</v>
      </c>
      <c r="C195" s="1" t="n">
        <v>46202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6318-2023</t>
        </is>
      </c>
      <c r="B196" s="1" t="n">
        <v>44965</v>
      </c>
      <c r="C196" s="1" t="n">
        <v>46202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25908-2023</t>
        </is>
      </c>
      <c r="B197" s="1" t="n">
        <v>45090</v>
      </c>
      <c r="C197" s="1" t="n">
        <v>46202</v>
      </c>
      <c r="D197" t="inlineStr">
        <is>
          <t>BLEKINGE LÄN</t>
        </is>
      </c>
      <c r="E197" t="inlineStr">
        <is>
          <t>OLOFSTRÖM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15384-2023</t>
        </is>
      </c>
      <c r="B198" s="1" t="n">
        <v>45019</v>
      </c>
      <c r="C198" s="1" t="n">
        <v>46202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45772-2023</t>
        </is>
      </c>
      <c r="B199" s="1" t="n">
        <v>45195</v>
      </c>
      <c r="C199" s="1" t="n">
        <v>46202</v>
      </c>
      <c r="D199" t="inlineStr">
        <is>
          <t>BLEKINGE LÄN</t>
        </is>
      </c>
      <c r="E199" t="inlineStr">
        <is>
          <t>OLOFSTRÖM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52223-2022</t>
        </is>
      </c>
      <c r="B200" s="1" t="n">
        <v>44873</v>
      </c>
      <c r="C200" s="1" t="n">
        <v>46202</v>
      </c>
      <c r="D200" t="inlineStr">
        <is>
          <t>BLEKINGE LÄN</t>
        </is>
      </c>
      <c r="E200" t="inlineStr">
        <is>
          <t>OLOFSTRÖM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8110-2023</t>
        </is>
      </c>
      <c r="B201" s="1" t="n">
        <v>44970</v>
      </c>
      <c r="C201" s="1" t="n">
        <v>46202</v>
      </c>
      <c r="D201" t="inlineStr">
        <is>
          <t>BLEKINGE LÄN</t>
        </is>
      </c>
      <c r="E201" t="inlineStr">
        <is>
          <t>OLOFSTRÖM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48004-2023</t>
        </is>
      </c>
      <c r="B202" s="1" t="n">
        <v>45204</v>
      </c>
      <c r="C202" s="1" t="n">
        <v>46202</v>
      </c>
      <c r="D202" t="inlineStr">
        <is>
          <t>BLEKINGE LÄN</t>
        </is>
      </c>
      <c r="E202" t="inlineStr">
        <is>
          <t>OLOFSTRÖM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48005-2023</t>
        </is>
      </c>
      <c r="B203" s="1" t="n">
        <v>45204</v>
      </c>
      <c r="C203" s="1" t="n">
        <v>46202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49301-2022</t>
        </is>
      </c>
      <c r="B204" s="1" t="n">
        <v>44858</v>
      </c>
      <c r="C204" s="1" t="n">
        <v>46202</v>
      </c>
      <c r="D204" t="inlineStr">
        <is>
          <t>BLEKINGE LÄN</t>
        </is>
      </c>
      <c r="E204" t="inlineStr">
        <is>
          <t>OLOFSTRÖM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49308-2022</t>
        </is>
      </c>
      <c r="B205" s="1" t="n">
        <v>44858</v>
      </c>
      <c r="C205" s="1" t="n">
        <v>46202</v>
      </c>
      <c r="D205" t="inlineStr">
        <is>
          <t>BLEKINGE LÄN</t>
        </is>
      </c>
      <c r="E205" t="inlineStr">
        <is>
          <t>OLOFSTRÖM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49052-2024</t>
        </is>
      </c>
      <c r="B206" s="1" t="n">
        <v>45594</v>
      </c>
      <c r="C206" s="1" t="n">
        <v>46202</v>
      </c>
      <c r="D206" t="inlineStr">
        <is>
          <t>BLEKINGE LÄN</t>
        </is>
      </c>
      <c r="E206" t="inlineStr">
        <is>
          <t>OLOFSTRÖM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54015-2021</t>
        </is>
      </c>
      <c r="B207" s="1" t="n">
        <v>44470</v>
      </c>
      <c r="C207" s="1" t="n">
        <v>46202</v>
      </c>
      <c r="D207" t="inlineStr">
        <is>
          <t>BLEKINGE LÄN</t>
        </is>
      </c>
      <c r="E207" t="inlineStr">
        <is>
          <t>OLOFSTRÖM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34163-2022</t>
        </is>
      </c>
      <c r="B208" s="1" t="n">
        <v>44791</v>
      </c>
      <c r="C208" s="1" t="n">
        <v>46202</v>
      </c>
      <c r="D208" t="inlineStr">
        <is>
          <t>BLEKINGE LÄN</t>
        </is>
      </c>
      <c r="E208" t="inlineStr">
        <is>
          <t>OLOFSTRÖM</t>
        </is>
      </c>
      <c r="F208" t="inlineStr">
        <is>
          <t>Kommuner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55995-2024</t>
        </is>
      </c>
      <c r="B209" s="1" t="n">
        <v>45623</v>
      </c>
      <c r="C209" s="1" t="n">
        <v>46202</v>
      </c>
      <c r="D209" t="inlineStr">
        <is>
          <t>BLEKINGE LÄN</t>
        </is>
      </c>
      <c r="E209" t="inlineStr">
        <is>
          <t>OLOFSTRÖM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16318-2024</t>
        </is>
      </c>
      <c r="B210" s="1" t="n">
        <v>45407</v>
      </c>
      <c r="C210" s="1" t="n">
        <v>46202</v>
      </c>
      <c r="D210" t="inlineStr">
        <is>
          <t>BLEKINGE LÄN</t>
        </is>
      </c>
      <c r="E210" t="inlineStr">
        <is>
          <t>OLOFSTRÖM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50870-2024</t>
        </is>
      </c>
      <c r="B211" s="1" t="n">
        <v>45602</v>
      </c>
      <c r="C211" s="1" t="n">
        <v>46202</v>
      </c>
      <c r="D211" t="inlineStr">
        <is>
          <t>BLEKINGE LÄN</t>
        </is>
      </c>
      <c r="E211" t="inlineStr">
        <is>
          <t>OLOFSTRÖM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13482-2023</t>
        </is>
      </c>
      <c r="B212" s="1" t="n">
        <v>45005</v>
      </c>
      <c r="C212" s="1" t="n">
        <v>46202</v>
      </c>
      <c r="D212" t="inlineStr">
        <is>
          <t>BLEKINGE LÄN</t>
        </is>
      </c>
      <c r="E212" t="inlineStr">
        <is>
          <t>OLOFSTRÖM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59710-2024</t>
        </is>
      </c>
      <c r="B213" s="1" t="n">
        <v>45639</v>
      </c>
      <c r="C213" s="1" t="n">
        <v>46202</v>
      </c>
      <c r="D213" t="inlineStr">
        <is>
          <t>BLEKINGE LÄN</t>
        </is>
      </c>
      <c r="E213" t="inlineStr">
        <is>
          <t>OLOFSTRÖM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6430-2024</t>
        </is>
      </c>
      <c r="B214" s="1" t="n">
        <v>45338</v>
      </c>
      <c r="C214" s="1" t="n">
        <v>46202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6439-2024</t>
        </is>
      </c>
      <c r="B215" s="1" t="n">
        <v>45338</v>
      </c>
      <c r="C215" s="1" t="n">
        <v>46202</v>
      </c>
      <c r="D215" t="inlineStr">
        <is>
          <t>BLEKINGE LÄN</t>
        </is>
      </c>
      <c r="E215" t="inlineStr">
        <is>
          <t>OLOFSTRÖM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6443-2024</t>
        </is>
      </c>
      <c r="B216" s="1" t="n">
        <v>45338</v>
      </c>
      <c r="C216" s="1" t="n">
        <v>46202</v>
      </c>
      <c r="D216" t="inlineStr">
        <is>
          <t>BLEKINGE LÄN</t>
        </is>
      </c>
      <c r="E216" t="inlineStr">
        <is>
          <t>OLOFSTRÖM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34746-2023</t>
        </is>
      </c>
      <c r="B217" s="1" t="n">
        <v>45141</v>
      </c>
      <c r="C217" s="1" t="n">
        <v>46202</v>
      </c>
      <c r="D217" t="inlineStr">
        <is>
          <t>BLEKINGE LÄN</t>
        </is>
      </c>
      <c r="E217" t="inlineStr">
        <is>
          <t>OLOFSTRÖM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38088-2022</t>
        </is>
      </c>
      <c r="B218" s="1" t="n">
        <v>44811</v>
      </c>
      <c r="C218" s="1" t="n">
        <v>46202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13660-2023</t>
        </is>
      </c>
      <c r="B219" s="1" t="n">
        <v>45006</v>
      </c>
      <c r="C219" s="1" t="n">
        <v>46202</v>
      </c>
      <c r="D219" t="inlineStr">
        <is>
          <t>BLEKINGE LÄN</t>
        </is>
      </c>
      <c r="E219" t="inlineStr">
        <is>
          <t>OLOFSTRÖM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9259-2022</t>
        </is>
      </c>
      <c r="B220" s="1" t="n">
        <v>44616</v>
      </c>
      <c r="C220" s="1" t="n">
        <v>46202</v>
      </c>
      <c r="D220" t="inlineStr">
        <is>
          <t>BLEKINGE LÄN</t>
        </is>
      </c>
      <c r="E220" t="inlineStr">
        <is>
          <t>OLOFSTRÖM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6681-2025</t>
        </is>
      </c>
      <c r="B221" s="1" t="n">
        <v>45700</v>
      </c>
      <c r="C221" s="1" t="n">
        <v>46202</v>
      </c>
      <c r="D221" t="inlineStr">
        <is>
          <t>BLEKINGE LÄN</t>
        </is>
      </c>
      <c r="E221" t="inlineStr">
        <is>
          <t>OLOFSTRÖM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28538-2022</t>
        </is>
      </c>
      <c r="B222" s="1" t="n">
        <v>44748</v>
      </c>
      <c r="C222" s="1" t="n">
        <v>46202</v>
      </c>
      <c r="D222" t="inlineStr">
        <is>
          <t>BLEKINGE LÄN</t>
        </is>
      </c>
      <c r="E222" t="inlineStr">
        <is>
          <t>OLOFSTRÖM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42464-2023</t>
        </is>
      </c>
      <c r="B223" s="1" t="n">
        <v>45180</v>
      </c>
      <c r="C223" s="1" t="n">
        <v>46202</v>
      </c>
      <c r="D223" t="inlineStr">
        <is>
          <t>BLEKINGE LÄN</t>
        </is>
      </c>
      <c r="E223" t="inlineStr">
        <is>
          <t>OLOFSTRÖM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30657-2023</t>
        </is>
      </c>
      <c r="B224" s="1" t="n">
        <v>45112</v>
      </c>
      <c r="C224" s="1" t="n">
        <v>46202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47264-2023</t>
        </is>
      </c>
      <c r="B225" s="1" t="n">
        <v>45197</v>
      </c>
      <c r="C225" s="1" t="n">
        <v>46202</v>
      </c>
      <c r="D225" t="inlineStr">
        <is>
          <t>BLEKINGE LÄN</t>
        </is>
      </c>
      <c r="E225" t="inlineStr">
        <is>
          <t>OLOFSTRÖM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62728-2023</t>
        </is>
      </c>
      <c r="B226" s="1" t="n">
        <v>45268</v>
      </c>
      <c r="C226" s="1" t="n">
        <v>46202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444-2023</t>
        </is>
      </c>
      <c r="B227" s="1" t="n">
        <v>44929</v>
      </c>
      <c r="C227" s="1" t="n">
        <v>46202</v>
      </c>
      <c r="D227" t="inlineStr">
        <is>
          <t>BLEKINGE LÄN</t>
        </is>
      </c>
      <c r="E227" t="inlineStr">
        <is>
          <t>OLOFSTRÖM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46820-2022</t>
        </is>
      </c>
      <c r="B228" s="1" t="n">
        <v>44851</v>
      </c>
      <c r="C228" s="1" t="n">
        <v>46202</v>
      </c>
      <c r="D228" t="inlineStr">
        <is>
          <t>BLEKINGE LÄN</t>
        </is>
      </c>
      <c r="E228" t="inlineStr">
        <is>
          <t>OLOFSTRÖM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6523-2024</t>
        </is>
      </c>
      <c r="B229" s="1" t="n">
        <v>45341</v>
      </c>
      <c r="C229" s="1" t="n">
        <v>46202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30205-2025</t>
        </is>
      </c>
      <c r="B230" s="1" t="n">
        <v>45827</v>
      </c>
      <c r="C230" s="1" t="n">
        <v>46202</v>
      </c>
      <c r="D230" t="inlineStr">
        <is>
          <t>BLEKINGE LÄN</t>
        </is>
      </c>
      <c r="E230" t="inlineStr">
        <is>
          <t>OLOFSTRÖM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56660-2023</t>
        </is>
      </c>
      <c r="B231" s="1" t="n">
        <v>45243</v>
      </c>
      <c r="C231" s="1" t="n">
        <v>46202</v>
      </c>
      <c r="D231" t="inlineStr">
        <is>
          <t>BLEKINGE LÄN</t>
        </is>
      </c>
      <c r="E231" t="inlineStr">
        <is>
          <t>OLOFSTRÖM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14665-2025</t>
        </is>
      </c>
      <c r="B232" s="1" t="n">
        <v>45742</v>
      </c>
      <c r="C232" s="1" t="n">
        <v>46202</v>
      </c>
      <c r="D232" t="inlineStr">
        <is>
          <t>BLEKINGE LÄN</t>
        </is>
      </c>
      <c r="E232" t="inlineStr">
        <is>
          <t>OLOFSTRÖM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30469-2025</t>
        </is>
      </c>
      <c r="B233" s="1" t="n">
        <v>45827</v>
      </c>
      <c r="C233" s="1" t="n">
        <v>46202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30470-2025</t>
        </is>
      </c>
      <c r="B234" s="1" t="n">
        <v>45827</v>
      </c>
      <c r="C234" s="1" t="n">
        <v>46202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62246-2022</t>
        </is>
      </c>
      <c r="B235" s="1" t="n">
        <v>44922</v>
      </c>
      <c r="C235" s="1" t="n">
        <v>46202</v>
      </c>
      <c r="D235" t="inlineStr">
        <is>
          <t>BLEKINGE LÄN</t>
        </is>
      </c>
      <c r="E235" t="inlineStr">
        <is>
          <t>OLOFSTRÖM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39050-2024</t>
        </is>
      </c>
      <c r="B236" s="1" t="n">
        <v>45548</v>
      </c>
      <c r="C236" s="1" t="n">
        <v>46202</v>
      </c>
      <c r="D236" t="inlineStr">
        <is>
          <t>BLEKINGE LÄN</t>
        </is>
      </c>
      <c r="E236" t="inlineStr">
        <is>
          <t>OLOFSTRÖM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39077-2024</t>
        </is>
      </c>
      <c r="B237" s="1" t="n">
        <v>45548</v>
      </c>
      <c r="C237" s="1" t="n">
        <v>46202</v>
      </c>
      <c r="D237" t="inlineStr">
        <is>
          <t>BLEKINGE LÄN</t>
        </is>
      </c>
      <c r="E237" t="inlineStr">
        <is>
          <t>OLOFSTRÖM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14311-2023</t>
        </is>
      </c>
      <c r="B238" s="1" t="n">
        <v>45011</v>
      </c>
      <c r="C238" s="1" t="n">
        <v>46202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8235-2023</t>
        </is>
      </c>
      <c r="B239" s="1" t="n">
        <v>44974</v>
      </c>
      <c r="C239" s="1" t="n">
        <v>46202</v>
      </c>
      <c r="D239" t="inlineStr">
        <is>
          <t>BLEKINGE LÄN</t>
        </is>
      </c>
      <c r="E239" t="inlineStr">
        <is>
          <t>OLOFSTRÖM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8238-2023</t>
        </is>
      </c>
      <c r="B240" s="1" t="n">
        <v>44974</v>
      </c>
      <c r="C240" s="1" t="n">
        <v>46202</v>
      </c>
      <c r="D240" t="inlineStr">
        <is>
          <t>BLEKINGE LÄN</t>
        </is>
      </c>
      <c r="E240" t="inlineStr">
        <is>
          <t>OLOFSTRÖM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7461-2023</t>
        </is>
      </c>
      <c r="B241" s="1" t="n">
        <v>44971</v>
      </c>
      <c r="C241" s="1" t="n">
        <v>46202</v>
      </c>
      <c r="D241" t="inlineStr">
        <is>
          <t>BLEKINGE LÄN</t>
        </is>
      </c>
      <c r="E241" t="inlineStr">
        <is>
          <t>OLOFSTRÖM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42635-2024</t>
        </is>
      </c>
      <c r="B242" s="1" t="n">
        <v>45565</v>
      </c>
      <c r="C242" s="1" t="n">
        <v>46202</v>
      </c>
      <c r="D242" t="inlineStr">
        <is>
          <t>BLEKINGE LÄN</t>
        </is>
      </c>
      <c r="E242" t="inlineStr">
        <is>
          <t>OLOFSTRÖM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11141-2025</t>
        </is>
      </c>
      <c r="B243" s="1" t="n">
        <v>45723</v>
      </c>
      <c r="C243" s="1" t="n">
        <v>46202</v>
      </c>
      <c r="D243" t="inlineStr">
        <is>
          <t>BLEKINGE LÄN</t>
        </is>
      </c>
      <c r="E243" t="inlineStr">
        <is>
          <t>OLOFSTRÖM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43814-2024</t>
        </is>
      </c>
      <c r="B244" s="1" t="n">
        <v>45571</v>
      </c>
      <c r="C244" s="1" t="n">
        <v>46202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7277-2025</t>
        </is>
      </c>
      <c r="B245" s="1" t="n">
        <v>45701</v>
      </c>
      <c r="C245" s="1" t="n">
        <v>46202</v>
      </c>
      <c r="D245" t="inlineStr">
        <is>
          <t>BLEKINGE LÄN</t>
        </is>
      </c>
      <c r="E245" t="inlineStr">
        <is>
          <t>OLOFSTRÖM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36875-2022</t>
        </is>
      </c>
      <c r="B246" s="1" t="n">
        <v>44805</v>
      </c>
      <c r="C246" s="1" t="n">
        <v>46202</v>
      </c>
      <c r="D246" t="inlineStr">
        <is>
          <t>BLEKINGE LÄN</t>
        </is>
      </c>
      <c r="E246" t="inlineStr">
        <is>
          <t>OLOFSTRÖM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55421-2023</t>
        </is>
      </c>
      <c r="B247" s="1" t="n">
        <v>45238</v>
      </c>
      <c r="C247" s="1" t="n">
        <v>46202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70538-2021</t>
        </is>
      </c>
      <c r="B248" s="1" t="n">
        <v>44536</v>
      </c>
      <c r="C248" s="1" t="n">
        <v>46202</v>
      </c>
      <c r="D248" t="inlineStr">
        <is>
          <t>BLEKINGE LÄN</t>
        </is>
      </c>
      <c r="E248" t="inlineStr">
        <is>
          <t>OLOFSTRÖM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53418-2022</t>
        </is>
      </c>
      <c r="B249" s="1" t="n">
        <v>44879</v>
      </c>
      <c r="C249" s="1" t="n">
        <v>46202</v>
      </c>
      <c r="D249" t="inlineStr">
        <is>
          <t>BLEKINGE LÄN</t>
        </is>
      </c>
      <c r="E249" t="inlineStr">
        <is>
          <t>OLOFSTRÖM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58305-2023</t>
        </is>
      </c>
      <c r="B250" s="1" t="n">
        <v>45245</v>
      </c>
      <c r="C250" s="1" t="n">
        <v>46202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16787-2023</t>
        </is>
      </c>
      <c r="B251" s="1" t="n">
        <v>45032</v>
      </c>
      <c r="C251" s="1" t="n">
        <v>46202</v>
      </c>
      <c r="D251" t="inlineStr">
        <is>
          <t>BLEKINGE LÄN</t>
        </is>
      </c>
      <c r="E251" t="inlineStr">
        <is>
          <t>OLOFSTRÖM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10327-2025</t>
        </is>
      </c>
      <c r="B252" s="1" t="n">
        <v>45720</v>
      </c>
      <c r="C252" s="1" t="n">
        <v>46202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3477-2024</t>
        </is>
      </c>
      <c r="B253" s="1" t="n">
        <v>45320</v>
      </c>
      <c r="C253" s="1" t="n">
        <v>46202</v>
      </c>
      <c r="D253" t="inlineStr">
        <is>
          <t>BLEKINGE LÄN</t>
        </is>
      </c>
      <c r="E253" t="inlineStr">
        <is>
          <t>OLOFSTRÖM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48933-2024</t>
        </is>
      </c>
      <c r="B254" s="1" t="n">
        <v>45594</v>
      </c>
      <c r="C254" s="1" t="n">
        <v>46202</v>
      </c>
      <c r="D254" t="inlineStr">
        <is>
          <t>BLEKINGE LÄN</t>
        </is>
      </c>
      <c r="E254" t="inlineStr">
        <is>
          <t>OLOFSTRÖM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56078-2023</t>
        </is>
      </c>
      <c r="B255" s="1" t="n">
        <v>45233</v>
      </c>
      <c r="C255" s="1" t="n">
        <v>46202</v>
      </c>
      <c r="D255" t="inlineStr">
        <is>
          <t>BLEKINGE LÄN</t>
        </is>
      </c>
      <c r="E255" t="inlineStr">
        <is>
          <t>OLOFSTRÖM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35097-2025</t>
        </is>
      </c>
      <c r="B256" s="1" t="n">
        <v>45852</v>
      </c>
      <c r="C256" s="1" t="n">
        <v>46202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50709-2024</t>
        </is>
      </c>
      <c r="B257" s="1" t="n">
        <v>45602</v>
      </c>
      <c r="C257" s="1" t="n">
        <v>46202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5552-2025</t>
        </is>
      </c>
      <c r="B258" s="1" t="n">
        <v>45693</v>
      </c>
      <c r="C258" s="1" t="n">
        <v>46202</v>
      </c>
      <c r="D258" t="inlineStr">
        <is>
          <t>BLEKINGE LÄN</t>
        </is>
      </c>
      <c r="E258" t="inlineStr">
        <is>
          <t>OLOFSTRÖM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47825-2024</t>
        </is>
      </c>
      <c r="B259" s="1" t="n">
        <v>45588</v>
      </c>
      <c r="C259" s="1" t="n">
        <v>46202</v>
      </c>
      <c r="D259" t="inlineStr">
        <is>
          <t>BLEKINGE LÄN</t>
        </is>
      </c>
      <c r="E259" t="inlineStr">
        <is>
          <t>OLOFSTRÖM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62666-2023</t>
        </is>
      </c>
      <c r="B260" s="1" t="n">
        <v>45271</v>
      </c>
      <c r="C260" s="1" t="n">
        <v>46202</v>
      </c>
      <c r="D260" t="inlineStr">
        <is>
          <t>BLEKINGE LÄN</t>
        </is>
      </c>
      <c r="E260" t="inlineStr">
        <is>
          <t>OLOFSTRÖM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62672-2023</t>
        </is>
      </c>
      <c r="B261" s="1" t="n">
        <v>45271</v>
      </c>
      <c r="C261" s="1" t="n">
        <v>46202</v>
      </c>
      <c r="D261" t="inlineStr">
        <is>
          <t>BLEKINGE LÄN</t>
        </is>
      </c>
      <c r="E261" t="inlineStr">
        <is>
          <t>OLOFSTRÖM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62744-2023</t>
        </is>
      </c>
      <c r="B262" s="1" t="n">
        <v>45268</v>
      </c>
      <c r="C262" s="1" t="n">
        <v>46202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62758-2023</t>
        </is>
      </c>
      <c r="B263" s="1" t="n">
        <v>45268</v>
      </c>
      <c r="C263" s="1" t="n">
        <v>46202</v>
      </c>
      <c r="D263" t="inlineStr">
        <is>
          <t>BLEKINGE LÄN</t>
        </is>
      </c>
      <c r="E263" t="inlineStr">
        <is>
          <t>OLOFSTRÖM</t>
        </is>
      </c>
      <c r="F263" t="inlineStr">
        <is>
          <t>Övriga Aktiebolag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6649-2025</t>
        </is>
      </c>
      <c r="B264" s="1" t="n">
        <v>45700</v>
      </c>
      <c r="C264" s="1" t="n">
        <v>46202</v>
      </c>
      <c r="D264" t="inlineStr">
        <is>
          <t>BLEKINGE LÄN</t>
        </is>
      </c>
      <c r="E264" t="inlineStr">
        <is>
          <t>OLOFSTRÖM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6439-2025</t>
        </is>
      </c>
      <c r="B265" s="1" t="n">
        <v>45699</v>
      </c>
      <c r="C265" s="1" t="n">
        <v>46202</v>
      </c>
      <c r="D265" t="inlineStr">
        <is>
          <t>BLEKINGE LÄN</t>
        </is>
      </c>
      <c r="E265" t="inlineStr">
        <is>
          <t>OLOFSTRÖM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30740-2023</t>
        </is>
      </c>
      <c r="B266" s="1" t="n">
        <v>45112</v>
      </c>
      <c r="C266" s="1" t="n">
        <v>46202</v>
      </c>
      <c r="D266" t="inlineStr">
        <is>
          <t>BLEKINGE LÄN</t>
        </is>
      </c>
      <c r="E266" t="inlineStr">
        <is>
          <t>OLOFSTRÖM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10630-2023</t>
        </is>
      </c>
      <c r="B267" s="1" t="n">
        <v>44984</v>
      </c>
      <c r="C267" s="1" t="n">
        <v>46202</v>
      </c>
      <c r="D267" t="inlineStr">
        <is>
          <t>BLEKINGE LÄN</t>
        </is>
      </c>
      <c r="E267" t="inlineStr">
        <is>
          <t>OLOFSTRÖM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4538-2022</t>
        </is>
      </c>
      <c r="B268" s="1" t="n">
        <v>44590</v>
      </c>
      <c r="C268" s="1" t="n">
        <v>46202</v>
      </c>
      <c r="D268" t="inlineStr">
        <is>
          <t>BLEKINGE LÄN</t>
        </is>
      </c>
      <c r="E268" t="inlineStr">
        <is>
          <t>OLOFSTRÖM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32351-2023</t>
        </is>
      </c>
      <c r="B269" s="1" t="n">
        <v>45120</v>
      </c>
      <c r="C269" s="1" t="n">
        <v>46202</v>
      </c>
      <c r="D269" t="inlineStr">
        <is>
          <t>BLEKINGE LÄN</t>
        </is>
      </c>
      <c r="E269" t="inlineStr">
        <is>
          <t>OLOFSTRÖM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69498-2021</t>
        </is>
      </c>
      <c r="B270" s="1" t="n">
        <v>44531</v>
      </c>
      <c r="C270" s="1" t="n">
        <v>46202</v>
      </c>
      <c r="D270" t="inlineStr">
        <is>
          <t>BLEKINGE LÄN</t>
        </is>
      </c>
      <c r="E270" t="inlineStr">
        <is>
          <t>OLOFSTRÖM</t>
        </is>
      </c>
      <c r="F270" t="inlineStr">
        <is>
          <t>Kommuner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36427-2025</t>
        </is>
      </c>
      <c r="B271" s="1" t="n">
        <v>45868</v>
      </c>
      <c r="C271" s="1" t="n">
        <v>46202</v>
      </c>
      <c r="D271" t="inlineStr">
        <is>
          <t>BLEKINGE LÄN</t>
        </is>
      </c>
      <c r="E271" t="inlineStr">
        <is>
          <t>OLOFSTRÖM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65035-2023</t>
        </is>
      </c>
      <c r="B272" s="1" t="n">
        <v>45282</v>
      </c>
      <c r="C272" s="1" t="n">
        <v>46202</v>
      </c>
      <c r="D272" t="inlineStr">
        <is>
          <t>BLEKINGE LÄN</t>
        </is>
      </c>
      <c r="E272" t="inlineStr">
        <is>
          <t>OLOFSTRÖM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32008-2023</t>
        </is>
      </c>
      <c r="B273" s="1" t="n">
        <v>45107</v>
      </c>
      <c r="C273" s="1" t="n">
        <v>46202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6421-2024</t>
        </is>
      </c>
      <c r="B274" s="1" t="n">
        <v>45338</v>
      </c>
      <c r="C274" s="1" t="n">
        <v>46202</v>
      </c>
      <c r="D274" t="inlineStr">
        <is>
          <t>BLEKINGE LÄN</t>
        </is>
      </c>
      <c r="E274" t="inlineStr">
        <is>
          <t>OLOFSTRÖM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49704-2021</t>
        </is>
      </c>
      <c r="B275" s="1" t="n">
        <v>44455</v>
      </c>
      <c r="C275" s="1" t="n">
        <v>46202</v>
      </c>
      <c r="D275" t="inlineStr">
        <is>
          <t>BLEKINGE LÄN</t>
        </is>
      </c>
      <c r="E275" t="inlineStr">
        <is>
          <t>OLOFSTRÖM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5805-2025</t>
        </is>
      </c>
      <c r="B276" s="1" t="n">
        <v>45694</v>
      </c>
      <c r="C276" s="1" t="n">
        <v>46202</v>
      </c>
      <c r="D276" t="inlineStr">
        <is>
          <t>BLEKINGE LÄN</t>
        </is>
      </c>
      <c r="E276" t="inlineStr">
        <is>
          <t>OLOFSTRÖM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38729-2025</t>
        </is>
      </c>
      <c r="B277" s="1" t="n">
        <v>45887</v>
      </c>
      <c r="C277" s="1" t="n">
        <v>46202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45689-2023</t>
        </is>
      </c>
      <c r="B278" s="1" t="n">
        <v>45195</v>
      </c>
      <c r="C278" s="1" t="n">
        <v>46202</v>
      </c>
      <c r="D278" t="inlineStr">
        <is>
          <t>BLEKINGE LÄN</t>
        </is>
      </c>
      <c r="E278" t="inlineStr">
        <is>
          <t>OLOFSTRÖM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46591-2023</t>
        </is>
      </c>
      <c r="B279" s="1" t="n">
        <v>45194</v>
      </c>
      <c r="C279" s="1" t="n">
        <v>46202</v>
      </c>
      <c r="D279" t="inlineStr">
        <is>
          <t>BLEKINGE LÄN</t>
        </is>
      </c>
      <c r="E279" t="inlineStr">
        <is>
          <t>OLOFSTRÖM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63384-2023</t>
        </is>
      </c>
      <c r="B280" s="1" t="n">
        <v>45274</v>
      </c>
      <c r="C280" s="1" t="n">
        <v>46202</v>
      </c>
      <c r="D280" t="inlineStr">
        <is>
          <t>BLEKINGE LÄN</t>
        </is>
      </c>
      <c r="E280" t="inlineStr">
        <is>
          <t>OLOFSTRÖM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63410-2023</t>
        </is>
      </c>
      <c r="B281" s="1" t="n">
        <v>45274</v>
      </c>
      <c r="C281" s="1" t="n">
        <v>46202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49271-2025</t>
        </is>
      </c>
      <c r="B282" s="1" t="n">
        <v>45938</v>
      </c>
      <c r="C282" s="1" t="n">
        <v>46202</v>
      </c>
      <c r="D282" t="inlineStr">
        <is>
          <t>BLEKINGE LÄN</t>
        </is>
      </c>
      <c r="E282" t="inlineStr">
        <is>
          <t>OLOFSTRÖM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53617-2024</t>
        </is>
      </c>
      <c r="B283" s="1" t="n">
        <v>45614</v>
      </c>
      <c r="C283" s="1" t="n">
        <v>46202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49784-2025</t>
        </is>
      </c>
      <c r="B284" s="1" t="n">
        <v>45940</v>
      </c>
      <c r="C284" s="1" t="n">
        <v>46202</v>
      </c>
      <c r="D284" t="inlineStr">
        <is>
          <t>BLEKINGE LÄN</t>
        </is>
      </c>
      <c r="E284" t="inlineStr">
        <is>
          <t>OLOFSTRÖM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10144-2025</t>
        </is>
      </c>
      <c r="B285" s="1" t="n">
        <v>45719</v>
      </c>
      <c r="C285" s="1" t="n">
        <v>46202</v>
      </c>
      <c r="D285" t="inlineStr">
        <is>
          <t>BLEKINGE LÄN</t>
        </is>
      </c>
      <c r="E285" t="inlineStr">
        <is>
          <t>OLOFSTRÖM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39944-2025</t>
        </is>
      </c>
      <c r="B286" s="1" t="n">
        <v>45891</v>
      </c>
      <c r="C286" s="1" t="n">
        <v>46202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13083-2024</t>
        </is>
      </c>
      <c r="B287" s="1" t="n">
        <v>45385</v>
      </c>
      <c r="C287" s="1" t="n">
        <v>46202</v>
      </c>
      <c r="D287" t="inlineStr">
        <is>
          <t>BLEKINGE LÄN</t>
        </is>
      </c>
      <c r="E287" t="inlineStr">
        <is>
          <t>OLOFSTRÖM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34936-2024</t>
        </is>
      </c>
      <c r="B288" s="1" t="n">
        <v>45527</v>
      </c>
      <c r="C288" s="1" t="n">
        <v>46202</v>
      </c>
      <c r="D288" t="inlineStr">
        <is>
          <t>BLEKINGE LÄN</t>
        </is>
      </c>
      <c r="E288" t="inlineStr">
        <is>
          <t>OLOFSTRÖM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40518-2025</t>
        </is>
      </c>
      <c r="B289" s="1" t="n">
        <v>45896</v>
      </c>
      <c r="C289" s="1" t="n">
        <v>46202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40523-2025</t>
        </is>
      </c>
      <c r="B290" s="1" t="n">
        <v>45896</v>
      </c>
      <c r="C290" s="1" t="n">
        <v>46202</v>
      </c>
      <c r="D290" t="inlineStr">
        <is>
          <t>BLEKINGE LÄN</t>
        </is>
      </c>
      <c r="E290" t="inlineStr">
        <is>
          <t>OLOFSTRÖM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45230-2024</t>
        </is>
      </c>
      <c r="B291" s="1" t="n">
        <v>45575</v>
      </c>
      <c r="C291" s="1" t="n">
        <v>46202</v>
      </c>
      <c r="D291" t="inlineStr">
        <is>
          <t>BLEKINGE LÄN</t>
        </is>
      </c>
      <c r="E291" t="inlineStr">
        <is>
          <t>OLOFSTRÖM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40680-2025</t>
        </is>
      </c>
      <c r="B292" s="1" t="n">
        <v>45896</v>
      </c>
      <c r="C292" s="1" t="n">
        <v>46202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11305-2025</t>
        </is>
      </c>
      <c r="B293" s="1" t="n">
        <v>45726</v>
      </c>
      <c r="C293" s="1" t="n">
        <v>46202</v>
      </c>
      <c r="D293" t="inlineStr">
        <is>
          <t>BLEKINGE LÄN</t>
        </is>
      </c>
      <c r="E293" t="inlineStr">
        <is>
          <t>OLOFSTRÖM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41135-2025</t>
        </is>
      </c>
      <c r="B294" s="1" t="n">
        <v>45898</v>
      </c>
      <c r="C294" s="1" t="n">
        <v>46202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46920-2024</t>
        </is>
      </c>
      <c r="B295" s="1" t="n">
        <v>45583</v>
      </c>
      <c r="C295" s="1" t="n">
        <v>46202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41258-2025</t>
        </is>
      </c>
      <c r="B296" s="1" t="n">
        <v>45898</v>
      </c>
      <c r="C296" s="1" t="n">
        <v>46202</v>
      </c>
      <c r="D296" t="inlineStr">
        <is>
          <t>BLEKINGE LÄN</t>
        </is>
      </c>
      <c r="E296" t="inlineStr">
        <is>
          <t>OLOFSTRÖM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6442-2024</t>
        </is>
      </c>
      <c r="B297" s="1" t="n">
        <v>45338</v>
      </c>
      <c r="C297" s="1" t="n">
        <v>46202</v>
      </c>
      <c r="D297" t="inlineStr">
        <is>
          <t>BLEKINGE LÄN</t>
        </is>
      </c>
      <c r="E297" t="inlineStr">
        <is>
          <t>OLOFSTRÖM</t>
        </is>
      </c>
      <c r="F297" t="inlineStr">
        <is>
          <t>Övriga Aktiebolag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34747-2023</t>
        </is>
      </c>
      <c r="B298" s="1" t="n">
        <v>45141</v>
      </c>
      <c r="C298" s="1" t="n">
        <v>46202</v>
      </c>
      <c r="D298" t="inlineStr">
        <is>
          <t>BLEKINGE LÄN</t>
        </is>
      </c>
      <c r="E298" t="inlineStr">
        <is>
          <t>OLOFSTRÖM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41748-2025</t>
        </is>
      </c>
      <c r="B299" s="1" t="n">
        <v>45902</v>
      </c>
      <c r="C299" s="1" t="n">
        <v>46202</v>
      </c>
      <c r="D299" t="inlineStr">
        <is>
          <t>BLEKINGE LÄN</t>
        </is>
      </c>
      <c r="E299" t="inlineStr">
        <is>
          <t>OLOFSTRÖM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41752-2025</t>
        </is>
      </c>
      <c r="B300" s="1" t="n">
        <v>45902</v>
      </c>
      <c r="C300" s="1" t="n">
        <v>46202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20408-2025</t>
        </is>
      </c>
      <c r="B301" s="1" t="n">
        <v>45775</v>
      </c>
      <c r="C301" s="1" t="n">
        <v>46202</v>
      </c>
      <c r="D301" t="inlineStr">
        <is>
          <t>BLEKINGE LÄN</t>
        </is>
      </c>
      <c r="E301" t="inlineStr">
        <is>
          <t>OLOFSTRÖM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42091-2025</t>
        </is>
      </c>
      <c r="B302" s="1" t="n">
        <v>45903</v>
      </c>
      <c r="C302" s="1" t="n">
        <v>46202</v>
      </c>
      <c r="D302" t="inlineStr">
        <is>
          <t>BLEKINGE LÄN</t>
        </is>
      </c>
      <c r="E302" t="inlineStr">
        <is>
          <t>OLOFSTRÖM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52695-2025</t>
        </is>
      </c>
      <c r="B303" s="1" t="n">
        <v>45956</v>
      </c>
      <c r="C303" s="1" t="n">
        <v>46202</v>
      </c>
      <c r="D303" t="inlineStr">
        <is>
          <t>BLEKINGE LÄN</t>
        </is>
      </c>
      <c r="E303" t="inlineStr">
        <is>
          <t>OLOFSTRÖM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52751-2025</t>
        </is>
      </c>
      <c r="B304" s="1" t="n">
        <v>45957</v>
      </c>
      <c r="C304" s="1" t="n">
        <v>46202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6270-2025</t>
        </is>
      </c>
      <c r="B305" s="1" t="n">
        <v>45698</v>
      </c>
      <c r="C305" s="1" t="n">
        <v>46202</v>
      </c>
      <c r="D305" t="inlineStr">
        <is>
          <t>BLEKINGE LÄN</t>
        </is>
      </c>
      <c r="E305" t="inlineStr">
        <is>
          <t>OLOFSTRÖM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12788-2025</t>
        </is>
      </c>
      <c r="B306" s="1" t="n">
        <v>45733</v>
      </c>
      <c r="C306" s="1" t="n">
        <v>46202</v>
      </c>
      <c r="D306" t="inlineStr">
        <is>
          <t>BLEKINGE LÄN</t>
        </is>
      </c>
      <c r="E306" t="inlineStr">
        <is>
          <t>OLOFSTRÖM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52694-2025</t>
        </is>
      </c>
      <c r="B307" s="1" t="n">
        <v>45956</v>
      </c>
      <c r="C307" s="1" t="n">
        <v>46202</v>
      </c>
      <c r="D307" t="inlineStr">
        <is>
          <t>BLEKINGE LÄN</t>
        </is>
      </c>
      <c r="E307" t="inlineStr">
        <is>
          <t>OLOFSTRÖM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8107-2023</t>
        </is>
      </c>
      <c r="B308" s="1" t="n">
        <v>44970</v>
      </c>
      <c r="C308" s="1" t="n">
        <v>46202</v>
      </c>
      <c r="D308" t="inlineStr">
        <is>
          <t>BLEKINGE LÄN</t>
        </is>
      </c>
      <c r="E308" t="inlineStr">
        <is>
          <t>OLOFSTRÖM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43212-2025</t>
        </is>
      </c>
      <c r="B309" s="1" t="n">
        <v>45910</v>
      </c>
      <c r="C309" s="1" t="n">
        <v>46202</v>
      </c>
      <c r="D309" t="inlineStr">
        <is>
          <t>BLEKINGE LÄN</t>
        </is>
      </c>
      <c r="E309" t="inlineStr">
        <is>
          <t>OLOFSTRÖM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3475-2024</t>
        </is>
      </c>
      <c r="B310" s="1" t="n">
        <v>45320</v>
      </c>
      <c r="C310" s="1" t="n">
        <v>46202</v>
      </c>
      <c r="D310" t="inlineStr">
        <is>
          <t>BLEKINGE LÄN</t>
        </is>
      </c>
      <c r="E310" t="inlineStr">
        <is>
          <t>OLOFSTRÖM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62677-2023</t>
        </is>
      </c>
      <c r="B311" s="1" t="n">
        <v>45271</v>
      </c>
      <c r="C311" s="1" t="n">
        <v>46202</v>
      </c>
      <c r="D311" t="inlineStr">
        <is>
          <t>BLEKINGE LÄN</t>
        </is>
      </c>
      <c r="E311" t="inlineStr">
        <is>
          <t>OLOFSTRÖM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51284-2024</t>
        </is>
      </c>
      <c r="B312" s="1" t="n">
        <v>45603</v>
      </c>
      <c r="C312" s="1" t="n">
        <v>46202</v>
      </c>
      <c r="D312" t="inlineStr">
        <is>
          <t>BLEKINGE LÄN</t>
        </is>
      </c>
      <c r="E312" t="inlineStr">
        <is>
          <t>OLOFSTRÖM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54492-2025</t>
        </is>
      </c>
      <c r="B313" s="1" t="n">
        <v>45965</v>
      </c>
      <c r="C313" s="1" t="n">
        <v>46202</v>
      </c>
      <c r="D313" t="inlineStr">
        <is>
          <t>BLEKINGE LÄN</t>
        </is>
      </c>
      <c r="E313" t="inlineStr">
        <is>
          <t>OLOFSTRÖM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54043-2025</t>
        </is>
      </c>
      <c r="B314" s="1" t="n">
        <v>45963</v>
      </c>
      <c r="C314" s="1" t="n">
        <v>46202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8040-2025</t>
        </is>
      </c>
      <c r="B315" s="1" t="n">
        <v>45707</v>
      </c>
      <c r="C315" s="1" t="n">
        <v>46202</v>
      </c>
      <c r="D315" t="inlineStr">
        <is>
          <t>BLEKINGE LÄN</t>
        </is>
      </c>
      <c r="E315" t="inlineStr">
        <is>
          <t>OLOFSTRÖM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24253-2025</t>
        </is>
      </c>
      <c r="B316" s="1" t="n">
        <v>45796</v>
      </c>
      <c r="C316" s="1" t="n">
        <v>46202</v>
      </c>
      <c r="D316" t="inlineStr">
        <is>
          <t>BLEKINGE LÄN</t>
        </is>
      </c>
      <c r="E316" t="inlineStr">
        <is>
          <t>OLOFSTRÖM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13988-2023</t>
        </is>
      </c>
      <c r="B317" s="1" t="n">
        <v>45008</v>
      </c>
      <c r="C317" s="1" t="n">
        <v>46202</v>
      </c>
      <c r="D317" t="inlineStr">
        <is>
          <t>BLEKINGE LÄN</t>
        </is>
      </c>
      <c r="E317" t="inlineStr">
        <is>
          <t>OLOFSTRÖM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28857-2023</t>
        </is>
      </c>
      <c r="B318" s="1" t="n">
        <v>45104</v>
      </c>
      <c r="C318" s="1" t="n">
        <v>46202</v>
      </c>
      <c r="D318" t="inlineStr">
        <is>
          <t>BLEKINGE LÄN</t>
        </is>
      </c>
      <c r="E318" t="inlineStr">
        <is>
          <t>OLOFSTRÖM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38886-2022</t>
        </is>
      </c>
      <c r="B319" s="1" t="n">
        <v>44816</v>
      </c>
      <c r="C319" s="1" t="n">
        <v>46202</v>
      </c>
      <c r="D319" t="inlineStr">
        <is>
          <t>BLEKINGE LÄN</t>
        </is>
      </c>
      <c r="E319" t="inlineStr">
        <is>
          <t>OLOFSTRÖM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55074-2025</t>
        </is>
      </c>
      <c r="B320" s="1" t="n">
        <v>45967</v>
      </c>
      <c r="C320" s="1" t="n">
        <v>46202</v>
      </c>
      <c r="D320" t="inlineStr">
        <is>
          <t>BLEKINGE LÄN</t>
        </is>
      </c>
      <c r="E320" t="inlineStr">
        <is>
          <t>OLOFSTRÖM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46315-2025</t>
        </is>
      </c>
      <c r="B321" s="1" t="n">
        <v>45925</v>
      </c>
      <c r="C321" s="1" t="n">
        <v>46202</v>
      </c>
      <c r="D321" t="inlineStr">
        <is>
          <t>BLEKINGE LÄN</t>
        </is>
      </c>
      <c r="E321" t="inlineStr">
        <is>
          <t>OLOFSTRÖM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46325-2025</t>
        </is>
      </c>
      <c r="B322" s="1" t="n">
        <v>45925</v>
      </c>
      <c r="C322" s="1" t="n">
        <v>46202</v>
      </c>
      <c r="D322" t="inlineStr">
        <is>
          <t>BLEKINGE LÄN</t>
        </is>
      </c>
      <c r="E322" t="inlineStr">
        <is>
          <t>OLOFSTRÖM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6563-2025</t>
        </is>
      </c>
      <c r="B323" s="1" t="n">
        <v>45699</v>
      </c>
      <c r="C323" s="1" t="n">
        <v>46202</v>
      </c>
      <c r="D323" t="inlineStr">
        <is>
          <t>BLEKINGE LÄN</t>
        </is>
      </c>
      <c r="E323" t="inlineStr">
        <is>
          <t>OLOFSTRÖM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56678-2025</t>
        </is>
      </c>
      <c r="B324" s="1" t="n">
        <v>45975</v>
      </c>
      <c r="C324" s="1" t="n">
        <v>46202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47226-2025</t>
        </is>
      </c>
      <c r="B325" s="1" t="n">
        <v>45930</v>
      </c>
      <c r="C325" s="1" t="n">
        <v>46202</v>
      </c>
      <c r="D325" t="inlineStr">
        <is>
          <t>BLEKINGE LÄN</t>
        </is>
      </c>
      <c r="E325" t="inlineStr">
        <is>
          <t>OLOFSTRÖM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12796-2025</t>
        </is>
      </c>
      <c r="B326" s="1" t="n">
        <v>45733</v>
      </c>
      <c r="C326" s="1" t="n">
        <v>46202</v>
      </c>
      <c r="D326" t="inlineStr">
        <is>
          <t>BLEKINGE LÄN</t>
        </is>
      </c>
      <c r="E326" t="inlineStr">
        <is>
          <t>OLOFSTRÖM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6253-2025</t>
        </is>
      </c>
      <c r="B327" s="1" t="n">
        <v>45698</v>
      </c>
      <c r="C327" s="1" t="n">
        <v>46202</v>
      </c>
      <c r="D327" t="inlineStr">
        <is>
          <t>BLEKINGE LÄN</t>
        </is>
      </c>
      <c r="E327" t="inlineStr">
        <is>
          <t>OLOFSTRÖM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25741-2025</t>
        </is>
      </c>
      <c r="B328" s="1" t="n">
        <v>45803</v>
      </c>
      <c r="C328" s="1" t="n">
        <v>46202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59248-2025</t>
        </is>
      </c>
      <c r="B329" s="1" t="n">
        <v>45988</v>
      </c>
      <c r="C329" s="1" t="n">
        <v>46202</v>
      </c>
      <c r="D329" t="inlineStr">
        <is>
          <t>BLEKINGE LÄN</t>
        </is>
      </c>
      <c r="E329" t="inlineStr">
        <is>
          <t>OLOFSTRÖM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59249-2025</t>
        </is>
      </c>
      <c r="B330" s="1" t="n">
        <v>45988</v>
      </c>
      <c r="C330" s="1" t="n">
        <v>46202</v>
      </c>
      <c r="D330" t="inlineStr">
        <is>
          <t>BLEKINGE LÄN</t>
        </is>
      </c>
      <c r="E330" t="inlineStr">
        <is>
          <t>OLOFSTRÖM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25682-2025</t>
        </is>
      </c>
      <c r="B331" s="1" t="n">
        <v>45803</v>
      </c>
      <c r="C331" s="1" t="n">
        <v>46202</v>
      </c>
      <c r="D331" t="inlineStr">
        <is>
          <t>BLEKINGE LÄN</t>
        </is>
      </c>
      <c r="E331" t="inlineStr">
        <is>
          <t>OLOFSTRÖM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19710-2024</t>
        </is>
      </c>
      <c r="B332" s="1" t="n">
        <v>45432</v>
      </c>
      <c r="C332" s="1" t="n">
        <v>46202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63560-2025</t>
        </is>
      </c>
      <c r="B333" s="1" t="n">
        <v>46013</v>
      </c>
      <c r="C333" s="1" t="n">
        <v>46202</v>
      </c>
      <c r="D333" t="inlineStr">
        <is>
          <t>BLEKINGE LÄN</t>
        </is>
      </c>
      <c r="E333" t="inlineStr">
        <is>
          <t>OLOFSTRÖM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247-2026</t>
        </is>
      </c>
      <c r="B334" s="1" t="n">
        <v>46027</v>
      </c>
      <c r="C334" s="1" t="n">
        <v>46202</v>
      </c>
      <c r="D334" t="inlineStr">
        <is>
          <t>BLEKINGE LÄN</t>
        </is>
      </c>
      <c r="E334" t="inlineStr">
        <is>
          <t>OLOFSTRÖM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248-2026</t>
        </is>
      </c>
      <c r="B335" s="1" t="n">
        <v>46027</v>
      </c>
      <c r="C335" s="1" t="n">
        <v>46202</v>
      </c>
      <c r="D335" t="inlineStr">
        <is>
          <t>BLEKINGE LÄN</t>
        </is>
      </c>
      <c r="E335" t="inlineStr">
        <is>
          <t>OLOFSTRÖM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242-2026</t>
        </is>
      </c>
      <c r="B336" s="1" t="n">
        <v>46027</v>
      </c>
      <c r="C336" s="1" t="n">
        <v>46202</v>
      </c>
      <c r="D336" t="inlineStr">
        <is>
          <t>BLEKINGE LÄN</t>
        </is>
      </c>
      <c r="E336" t="inlineStr">
        <is>
          <t>OLOFSTRÖM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45758-2025</t>
        </is>
      </c>
      <c r="B337" s="1" t="n">
        <v>45923</v>
      </c>
      <c r="C337" s="1" t="n">
        <v>46202</v>
      </c>
      <c r="D337" t="inlineStr">
        <is>
          <t>BLEKINGE LÄN</t>
        </is>
      </c>
      <c r="E337" t="inlineStr">
        <is>
          <t>OLOFSTRÖM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1356-2026</t>
        </is>
      </c>
      <c r="B338" s="1" t="n">
        <v>46031</v>
      </c>
      <c r="C338" s="1" t="n">
        <v>46202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2766-2026</t>
        </is>
      </c>
      <c r="B339" s="1" t="n">
        <v>46038</v>
      </c>
      <c r="C339" s="1" t="n">
        <v>46202</v>
      </c>
      <c r="D339" t="inlineStr">
        <is>
          <t>BLEKINGE LÄN</t>
        </is>
      </c>
      <c r="E339" t="inlineStr">
        <is>
          <t>OLOFSTRÖM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3542-2026</t>
        </is>
      </c>
      <c r="B340" s="1" t="n">
        <v>46042</v>
      </c>
      <c r="C340" s="1" t="n">
        <v>46202</v>
      </c>
      <c r="D340" t="inlineStr">
        <is>
          <t>BLEKINGE LÄN</t>
        </is>
      </c>
      <c r="E340" t="inlineStr">
        <is>
          <t>OLOFSTRÖM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4329-2026</t>
        </is>
      </c>
      <c r="B341" s="1" t="n">
        <v>46045</v>
      </c>
      <c r="C341" s="1" t="n">
        <v>46202</v>
      </c>
      <c r="D341" t="inlineStr">
        <is>
          <t>BLEKINGE LÄN</t>
        </is>
      </c>
      <c r="E341" t="inlineStr">
        <is>
          <t>OLOFSTRÖM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5465-2026</t>
        </is>
      </c>
      <c r="B342" s="1" t="n">
        <v>46050</v>
      </c>
      <c r="C342" s="1" t="n">
        <v>46202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6748-2026</t>
        </is>
      </c>
      <c r="B343" s="1" t="n">
        <v>46056</v>
      </c>
      <c r="C343" s="1" t="n">
        <v>46202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7416-2026</t>
        </is>
      </c>
      <c r="B344" s="1" t="n">
        <v>46059</v>
      </c>
      <c r="C344" s="1" t="n">
        <v>46202</v>
      </c>
      <c r="D344" t="inlineStr">
        <is>
          <t>BLEKINGE LÄN</t>
        </is>
      </c>
      <c r="E344" t="inlineStr">
        <is>
          <t>OLOFSTRÖM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8428-2026</t>
        </is>
      </c>
      <c r="B345" s="1" t="n">
        <v>46065</v>
      </c>
      <c r="C345" s="1" t="n">
        <v>46202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7810-2026</t>
        </is>
      </c>
      <c r="B346" s="1" t="n">
        <v>46059</v>
      </c>
      <c r="C346" s="1" t="n">
        <v>46202</v>
      </c>
      <c r="D346" t="inlineStr">
        <is>
          <t>BLEKINGE LÄN</t>
        </is>
      </c>
      <c r="E346" t="inlineStr">
        <is>
          <t>OLOFSTRÖM</t>
        </is>
      </c>
      <c r="G346" t="n">
        <v>16.2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7757-2026</t>
        </is>
      </c>
      <c r="B347" s="1" t="n">
        <v>46059</v>
      </c>
      <c r="C347" s="1" t="n">
        <v>46202</v>
      </c>
      <c r="D347" t="inlineStr">
        <is>
          <t>BLEKINGE LÄN</t>
        </is>
      </c>
      <c r="E347" t="inlineStr">
        <is>
          <t>OLOFSTRÖM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9291-2026</t>
        </is>
      </c>
      <c r="B348" s="1" t="n">
        <v>46070</v>
      </c>
      <c r="C348" s="1" t="n">
        <v>46202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9279-2026</t>
        </is>
      </c>
      <c r="B349" s="1" t="n">
        <v>46070</v>
      </c>
      <c r="C349" s="1" t="n">
        <v>46202</v>
      </c>
      <c r="D349" t="inlineStr">
        <is>
          <t>BLEKINGE LÄN</t>
        </is>
      </c>
      <c r="E349" t="inlineStr">
        <is>
          <t>OLOFSTRÖM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9309-2026</t>
        </is>
      </c>
      <c r="B350" s="1" t="n">
        <v>46070</v>
      </c>
      <c r="C350" s="1" t="n">
        <v>46202</v>
      </c>
      <c r="D350" t="inlineStr">
        <is>
          <t>BLEKINGE LÄN</t>
        </is>
      </c>
      <c r="E350" t="inlineStr">
        <is>
          <t>OLOFSTRÖM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10701-2026</t>
        </is>
      </c>
      <c r="B351" s="1" t="n">
        <v>46078</v>
      </c>
      <c r="C351" s="1" t="n">
        <v>46202</v>
      </c>
      <c r="D351" t="inlineStr">
        <is>
          <t>BLEKINGE LÄN</t>
        </is>
      </c>
      <c r="E351" t="inlineStr">
        <is>
          <t>OLOFSTRÖM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11375-2026</t>
        </is>
      </c>
      <c r="B352" s="1" t="n">
        <v>46083</v>
      </c>
      <c r="C352" s="1" t="n">
        <v>46202</v>
      </c>
      <c r="D352" t="inlineStr">
        <is>
          <t>BLEKINGE LÄN</t>
        </is>
      </c>
      <c r="E352" t="inlineStr">
        <is>
          <t>OLOFSTRÖM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13758-2026</t>
        </is>
      </c>
      <c r="B353" s="1" t="n">
        <v>46097</v>
      </c>
      <c r="C353" s="1" t="n">
        <v>46202</v>
      </c>
      <c r="D353" t="inlineStr">
        <is>
          <t>BLEKINGE LÄN</t>
        </is>
      </c>
      <c r="E353" t="inlineStr">
        <is>
          <t>OLOFSTRÖM</t>
        </is>
      </c>
      <c r="F353" t="inlineStr">
        <is>
          <t>Övriga Aktiebolag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14904-2026</t>
        </is>
      </c>
      <c r="B354" s="1" t="n">
        <v>46104</v>
      </c>
      <c r="C354" s="1" t="n">
        <v>46202</v>
      </c>
      <c r="D354" t="inlineStr">
        <is>
          <t>BLEKINGE LÄN</t>
        </is>
      </c>
      <c r="E354" t="inlineStr">
        <is>
          <t>OLOFSTRÖM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15688-2026</t>
        </is>
      </c>
      <c r="B355" s="1" t="n">
        <v>46106</v>
      </c>
      <c r="C355" s="1" t="n">
        <v>46202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9288-2026</t>
        </is>
      </c>
      <c r="B356" s="1" t="n">
        <v>46070</v>
      </c>
      <c r="C356" s="1" t="n">
        <v>46202</v>
      </c>
      <c r="D356" t="inlineStr">
        <is>
          <t>BLEKINGE LÄN</t>
        </is>
      </c>
      <c r="E356" t="inlineStr">
        <is>
          <t>OLOFSTRÖM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17232-2026</t>
        </is>
      </c>
      <c r="B357" s="1" t="n">
        <v>46119</v>
      </c>
      <c r="C357" s="1" t="n">
        <v>46202</v>
      </c>
      <c r="D357" t="inlineStr">
        <is>
          <t>BLEKINGE LÄN</t>
        </is>
      </c>
      <c r="E357" t="inlineStr">
        <is>
          <t>OLOFSTRÖM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17459-2026</t>
        </is>
      </c>
      <c r="B358" s="1" t="n">
        <v>46120</v>
      </c>
      <c r="C358" s="1" t="n">
        <v>46202</v>
      </c>
      <c r="D358" t="inlineStr">
        <is>
          <t>BLEKINGE LÄN</t>
        </is>
      </c>
      <c r="E358" t="inlineStr">
        <is>
          <t>OLOFSTRÖM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18046-2026</t>
        </is>
      </c>
      <c r="B359" s="1" t="n">
        <v>46125</v>
      </c>
      <c r="C359" s="1" t="n">
        <v>46202</v>
      </c>
      <c r="D359" t="inlineStr">
        <is>
          <t>BLEKINGE LÄN</t>
        </is>
      </c>
      <c r="E359" t="inlineStr">
        <is>
          <t>OLOFSTRÖM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27791-2022</t>
        </is>
      </c>
      <c r="B360" s="1" t="n">
        <v>44743</v>
      </c>
      <c r="C360" s="1" t="n">
        <v>46202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18472-2026</t>
        </is>
      </c>
      <c r="B361" s="1" t="n">
        <v>46127</v>
      </c>
      <c r="C361" s="1" t="n">
        <v>46202</v>
      </c>
      <c r="D361" t="inlineStr">
        <is>
          <t>BLEKINGE LÄN</t>
        </is>
      </c>
      <c r="E361" t="inlineStr">
        <is>
          <t>OLOFSTRÖM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24320-2026</t>
        </is>
      </c>
      <c r="B362" s="1" t="n">
        <v>46169</v>
      </c>
      <c r="C362" s="1" t="n">
        <v>46202</v>
      </c>
      <c r="D362" t="inlineStr">
        <is>
          <t>BLEKINGE LÄN</t>
        </is>
      </c>
      <c r="E362" t="inlineStr">
        <is>
          <t>OLOFSTRÖM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49786-2022</t>
        </is>
      </c>
      <c r="B363" s="1" t="n">
        <v>44862</v>
      </c>
      <c r="C363" s="1" t="n">
        <v>46202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34932-2025</t>
        </is>
      </c>
      <c r="B364" s="1" t="n">
        <v>45849</v>
      </c>
      <c r="C364" s="1" t="n">
        <v>46202</v>
      </c>
      <c r="D364" t="inlineStr">
        <is>
          <t>BLEKINGE LÄN</t>
        </is>
      </c>
      <c r="E364" t="inlineStr">
        <is>
          <t>OLOFSTRÖM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38405-2025</t>
        </is>
      </c>
      <c r="B365" s="1" t="n">
        <v>45883</v>
      </c>
      <c r="C365" s="1" t="n">
        <v>46202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33862-2023</t>
        </is>
      </c>
      <c r="B366" s="1" t="n">
        <v>45133</v>
      </c>
      <c r="C366" s="1" t="n">
        <v>46202</v>
      </c>
      <c r="D366" t="inlineStr">
        <is>
          <t>BLEKINGE LÄN</t>
        </is>
      </c>
      <c r="E366" t="inlineStr">
        <is>
          <t>OLOFSTRÖM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20448-2025</t>
        </is>
      </c>
      <c r="B367" s="1" t="n">
        <v>45775</v>
      </c>
      <c r="C367" s="1" t="n">
        <v>46202</v>
      </c>
      <c r="D367" t="inlineStr">
        <is>
          <t>BLEKINGE LÄN</t>
        </is>
      </c>
      <c r="E367" t="inlineStr">
        <is>
          <t>OLOFSTRÖM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8486-2025</t>
        </is>
      </c>
      <c r="B368" s="1" t="n">
        <v>45709</v>
      </c>
      <c r="C368" s="1" t="n">
        <v>46202</v>
      </c>
      <c r="D368" t="inlineStr">
        <is>
          <t>BLEKINGE LÄN</t>
        </is>
      </c>
      <c r="E368" t="inlineStr">
        <is>
          <t>OLOFSTRÖM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28328-2025</t>
        </is>
      </c>
      <c r="B369" s="1" t="n">
        <v>45818</v>
      </c>
      <c r="C369" s="1" t="n">
        <v>46202</v>
      </c>
      <c r="D369" t="inlineStr">
        <is>
          <t>BLEKINGE LÄN</t>
        </is>
      </c>
      <c r="E369" t="inlineStr">
        <is>
          <t>OLOFSTRÖM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28762-2025</t>
        </is>
      </c>
      <c r="B370" s="1" t="n">
        <v>45820</v>
      </c>
      <c r="C370" s="1" t="n">
        <v>46202</v>
      </c>
      <c r="D370" t="inlineStr">
        <is>
          <t>BLEKINGE LÄN</t>
        </is>
      </c>
      <c r="E370" t="inlineStr">
        <is>
          <t>OLOFSTRÖM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48535-2025</t>
        </is>
      </c>
      <c r="B371" s="1" t="n">
        <v>45936</v>
      </c>
      <c r="C371" s="1" t="n">
        <v>46202</v>
      </c>
      <c r="D371" t="inlineStr">
        <is>
          <t>BLEKINGE LÄN</t>
        </is>
      </c>
      <c r="E371" t="inlineStr">
        <is>
          <t>OLOFSTRÖM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13765-2026</t>
        </is>
      </c>
      <c r="B372" s="1" t="n">
        <v>46097</v>
      </c>
      <c r="C372" s="1" t="n">
        <v>46202</v>
      </c>
      <c r="D372" t="inlineStr">
        <is>
          <t>BLEKINGE LÄN</t>
        </is>
      </c>
      <c r="E372" t="inlineStr">
        <is>
          <t>OLOFSTRÖM</t>
        </is>
      </c>
      <c r="F372" t="inlineStr">
        <is>
          <t>Övriga Aktiebolag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30823-2024</t>
        </is>
      </c>
      <c r="B373" s="1" t="n">
        <v>45497</v>
      </c>
      <c r="C373" s="1" t="n">
        <v>46202</v>
      </c>
      <c r="D373" t="inlineStr">
        <is>
          <t>BLEKINGE LÄN</t>
        </is>
      </c>
      <c r="E373" t="inlineStr">
        <is>
          <t>OLOFSTRÖM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23782-2025</t>
        </is>
      </c>
      <c r="B374" s="1" t="n">
        <v>45793</v>
      </c>
      <c r="C374" s="1" t="n">
        <v>46202</v>
      </c>
      <c r="D374" t="inlineStr">
        <is>
          <t>BLEKINGE LÄN</t>
        </is>
      </c>
      <c r="E374" t="inlineStr">
        <is>
          <t>OLOFSTRÖM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28249-2025</t>
        </is>
      </c>
      <c r="B375" s="1" t="n">
        <v>45818</v>
      </c>
      <c r="C375" s="1" t="n">
        <v>46202</v>
      </c>
      <c r="D375" t="inlineStr">
        <is>
          <t>BLEKINGE LÄN</t>
        </is>
      </c>
      <c r="E375" t="inlineStr">
        <is>
          <t>OLOFSTRÖM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61934-2025</t>
        </is>
      </c>
      <c r="B376" s="1" t="n">
        <v>46003</v>
      </c>
      <c r="C376" s="1" t="n">
        <v>46202</v>
      </c>
      <c r="D376" t="inlineStr">
        <is>
          <t>BLEKINGE LÄN</t>
        </is>
      </c>
      <c r="E376" t="inlineStr">
        <is>
          <t>OLOFSTRÖM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56612-2025</t>
        </is>
      </c>
      <c r="B377" s="1" t="n">
        <v>45975</v>
      </c>
      <c r="C377" s="1" t="n">
        <v>46202</v>
      </c>
      <c r="D377" t="inlineStr">
        <is>
          <t>BLEKINGE LÄN</t>
        </is>
      </c>
      <c r="E377" t="inlineStr">
        <is>
          <t>OLOFSTRÖM</t>
        </is>
      </c>
      <c r="G377" t="n">
        <v>11.7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21013-2026</t>
        </is>
      </c>
      <c r="B378" s="1" t="n">
        <v>46143</v>
      </c>
      <c r="C378" s="1" t="n">
        <v>46202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34903-2025</t>
        </is>
      </c>
      <c r="B379" s="1" t="n">
        <v>45849</v>
      </c>
      <c r="C379" s="1" t="n">
        <v>46202</v>
      </c>
      <c r="D379" t="inlineStr">
        <is>
          <t>BLEKINGE LÄN</t>
        </is>
      </c>
      <c r="E379" t="inlineStr">
        <is>
          <t>OLOFSTRÖM</t>
        </is>
      </c>
      <c r="F379" t="inlineStr">
        <is>
          <t>Övriga Aktiebolag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2026-06-29T00:57:29Z</dcterms:created>
  <dcterms:modified xmlns:dcterms="http://purl.org/dc/terms/" xmlns:xsi="http://www.w3.org/2001/XMLSchema-instance" xsi:type="dcterms:W3CDTF">2026-06-29T00:57:30Z</dcterms:modified>
</cp:coreProperties>
</file>