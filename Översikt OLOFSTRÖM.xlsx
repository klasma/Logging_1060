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46260</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46260</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46260</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46260</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547-2026</t>
        </is>
      </c>
      <c r="B6" t="inlineStr">
        <is>
          <t>avverkningsanmälan</t>
        </is>
      </c>
      <c r="C6" t="inlineStr">
        <is>
          <t>Föryngringsavverkning</t>
        </is>
      </c>
      <c r="D6" s="1" t="n">
        <v>46029</v>
      </c>
      <c r="E6" s="1" t="n">
        <v>46260</v>
      </c>
      <c r="F6" t="inlineStr">
        <is>
          <t>BLEKINGE LÄN</t>
        </is>
      </c>
      <c r="G6" t="inlineStr">
        <is>
          <t>OLOFSTRÖM</t>
        </is>
      </c>
      <c r="I6" t="n">
        <v>2.3</v>
      </c>
      <c r="J6" t="n">
        <v>1</v>
      </c>
      <c r="K6" t="n">
        <v>1</v>
      </c>
      <c r="L6" t="n">
        <v>0</v>
      </c>
      <c r="M6" t="n">
        <v>1</v>
      </c>
      <c r="N6" t="n">
        <v>0</v>
      </c>
      <c r="O6" t="n">
        <v>0</v>
      </c>
      <c r="P6" t="n">
        <v>0</v>
      </c>
      <c r="Q6" t="n">
        <v>1</v>
      </c>
      <c r="R6" t="n">
        <v>1</v>
      </c>
      <c r="S6" t="n">
        <v>3</v>
      </c>
      <c r="T6" t="n">
        <v>4</v>
      </c>
      <c r="U6" t="n">
        <v>0</v>
      </c>
      <c r="V6" s="2" t="inlineStr">
        <is>
          <t>Småvänderot
Skogsbräsma
Revlummer</t>
        </is>
      </c>
      <c r="W6">
        <f>HYPERLINK("https://klasma.github.io/Logging_1060/artfynd/A 547-2026 artfynd.xlsx", "A 547-2026")</f>
        <v/>
      </c>
      <c r="X6">
        <f>HYPERLINK("https://klasma.github.io/Logging_1060/kartor/A 547-2026 karta.png", "A 547-2026")</f>
        <v/>
      </c>
      <c r="Y6">
        <f>HYPERLINK("https://klasma.github.io/Logging_1060/kartor_geotiff/A 547-2026 georefererad karta.tif", "A 547-2026")</f>
        <v/>
      </c>
      <c r="AA6">
        <f>HYPERLINK("https://klasma.github.io/Logging_1060/klagomål/A 547-2026 FSC-klagomål.docx", "A 547-2026")</f>
        <v/>
      </c>
      <c r="AB6">
        <f>HYPERLINK("https://klasma.github.io/Logging_1060/klagomålsmail/A 547-2026 FSC-klagomål mail.docx", "A 547-2026")</f>
        <v/>
      </c>
      <c r="AC6">
        <f>HYPERLINK("https://klasma.github.io/Logging_1060/tillsyn/A 547-2026 tillsynsbegäran.docx", "A 547-2026")</f>
        <v/>
      </c>
      <c r="AD6">
        <f>HYPERLINK("https://klasma.github.io/Logging_1060/tillsynsmail/A 547-2026 tillsynsbegäran mail.docx", "A 547-2026")</f>
        <v/>
      </c>
    </row>
    <row r="7" ht="15" customHeight="1">
      <c r="A7" t="inlineStr">
        <is>
          <t>A 33863-2023</t>
        </is>
      </c>
      <c r="B7" t="inlineStr">
        <is>
          <t>avverkningsanmälan</t>
        </is>
      </c>
      <c r="C7" t="inlineStr">
        <is>
          <t>Föryngringsavverkning</t>
        </is>
      </c>
      <c r="D7" s="1" t="n">
        <v>45133</v>
      </c>
      <c r="E7" s="1" t="n">
        <v>46260</v>
      </c>
      <c r="F7" t="inlineStr">
        <is>
          <t>BLEKINGE LÄN</t>
        </is>
      </c>
      <c r="G7" t="inlineStr">
        <is>
          <t>OLOFSTRÖM</t>
        </is>
      </c>
      <c r="I7" t="n">
        <v>6.4</v>
      </c>
      <c r="J7" t="n">
        <v>1</v>
      </c>
      <c r="K7" t="n">
        <v>0</v>
      </c>
      <c r="L7" t="n">
        <v>1</v>
      </c>
      <c r="M7" t="n">
        <v>0</v>
      </c>
      <c r="N7" t="n">
        <v>1</v>
      </c>
      <c r="O7" t="n">
        <v>0</v>
      </c>
      <c r="P7" t="n">
        <v>0</v>
      </c>
      <c r="Q7" t="n">
        <v>2</v>
      </c>
      <c r="R7" t="n">
        <v>1</v>
      </c>
      <c r="S7" t="n">
        <v>3</v>
      </c>
      <c r="T7" t="n">
        <v>4</v>
      </c>
      <c r="U7" t="n">
        <v>0</v>
      </c>
      <c r="V7" s="2" t="inlineStr">
        <is>
          <t>Skogsalm
Backruta
Grönvit nattviol</t>
        </is>
      </c>
      <c r="W7">
        <f>HYPERLINK("https://klasma.github.io/Logging_1060/artfynd/A 33863-2023 artfynd.xlsx", "A 33863-2023")</f>
        <v/>
      </c>
      <c r="X7">
        <f>HYPERLINK("https://klasma.github.io/Logging_1060/kartor/A 33863-2023 karta.png", "A 33863-2023")</f>
        <v/>
      </c>
      <c r="Y7">
        <f>HYPERLINK("https://klasma.github.io/Logging_1060/kartor_geotiff/A 33863-2023 georefererad karta.tif", "A 33863-2023")</f>
        <v/>
      </c>
      <c r="AA7">
        <f>HYPERLINK("https://klasma.github.io/Logging_1060/klagomål/A 33863-2023 FSC-klagomål.docx", "A 33863-2023")</f>
        <v/>
      </c>
      <c r="AB7">
        <f>HYPERLINK("https://klasma.github.io/Logging_1060/klagomålsmail/A 33863-2023 FSC-klagomål mail.docx", "A 33863-2023")</f>
        <v/>
      </c>
      <c r="AC7">
        <f>HYPERLINK("https://klasma.github.io/Logging_1060/tillsyn/A 33863-2023 tillsynsbegäran.docx", "A 33863-2023")</f>
        <v/>
      </c>
      <c r="AD7">
        <f>HYPERLINK("https://klasma.github.io/Logging_1060/tillsynsmail/A 33863-2023 tillsynsbegäran mail.docx", "A 33863-2023")</f>
        <v/>
      </c>
    </row>
    <row r="8" ht="15" customHeight="1">
      <c r="A8" t="inlineStr">
        <is>
          <t>A 57229-2024</t>
        </is>
      </c>
      <c r="B8" t="inlineStr">
        <is>
          <t>avverkningsanmälan</t>
        </is>
      </c>
      <c r="C8" t="inlineStr">
        <is>
          <t>Föryngringsavverkning</t>
        </is>
      </c>
      <c r="D8" s="1" t="n">
        <v>45629</v>
      </c>
      <c r="E8" s="1" t="n">
        <v>46260</v>
      </c>
      <c r="F8" t="inlineStr">
        <is>
          <t>BLEKINGE LÄN</t>
        </is>
      </c>
      <c r="G8" t="inlineStr">
        <is>
          <t>OLOFSTRÖM</t>
        </is>
      </c>
      <c r="I8" t="n">
        <v>2</v>
      </c>
      <c r="J8" t="n">
        <v>0</v>
      </c>
      <c r="K8" t="n">
        <v>1</v>
      </c>
      <c r="L8" t="n">
        <v>1</v>
      </c>
      <c r="M8" t="n">
        <v>0</v>
      </c>
      <c r="N8" t="n">
        <v>1</v>
      </c>
      <c r="O8" t="n">
        <v>0</v>
      </c>
      <c r="P8" t="n">
        <v>0</v>
      </c>
      <c r="Q8" t="n">
        <v>2</v>
      </c>
      <c r="R8" t="n">
        <v>1</v>
      </c>
      <c r="S8" t="n">
        <v>3</v>
      </c>
      <c r="T8" t="n">
        <v>3</v>
      </c>
      <c r="U8" t="n">
        <v>0</v>
      </c>
      <c r="V8" s="2" t="inlineStr">
        <is>
          <t>Ask
Lunglav
Platt fjädermossa</t>
        </is>
      </c>
      <c r="W8">
        <f>HYPERLINK("https://klasma.github.io/Logging_1060/artfynd/A 57229-2024 artfynd.xlsx", "A 57229-2024")</f>
        <v/>
      </c>
      <c r="X8">
        <f>HYPERLINK("https://klasma.github.io/Logging_1060/kartor/A 57229-2024 karta.png", "A 57229-2024")</f>
        <v/>
      </c>
      <c r="Y8">
        <f>HYPERLINK("https://klasma.github.io/Logging_1060/kartor_geotiff/A 57229-2024 georefererad karta.tif", "A 57229-2024")</f>
        <v/>
      </c>
      <c r="AA8">
        <f>HYPERLINK("https://klasma.github.io/Logging_1060/klagomål/A 57229-2024 FSC-klagomål.docx", "A 57229-2024")</f>
        <v/>
      </c>
      <c r="AB8">
        <f>HYPERLINK("https://klasma.github.io/Logging_1060/klagomålsmail/A 57229-2024 FSC-klagomål mail.docx", "A 57229-2024")</f>
        <v/>
      </c>
      <c r="AC8">
        <f>HYPERLINK("https://klasma.github.io/Logging_1060/tillsyn/A 57229-2024 tillsynsbegäran.docx", "A 57229-2024")</f>
        <v/>
      </c>
      <c r="AD8">
        <f>HYPERLINK("https://klasma.github.io/Logging_1060/tillsynsmail/A 57229-2024 tillsynsbegäran mail.docx", "A 57229-2024")</f>
        <v/>
      </c>
    </row>
    <row r="9" ht="15" customHeight="1">
      <c r="A9" t="inlineStr">
        <is>
          <t>A 62747-2023</t>
        </is>
      </c>
      <c r="B9" t="inlineStr">
        <is>
          <t>avverkningsanmälan</t>
        </is>
      </c>
      <c r="C9" t="inlineStr">
        <is>
          <t>Föryngringsavverkning</t>
        </is>
      </c>
      <c r="D9" s="1" t="n">
        <v>45268</v>
      </c>
      <c r="E9" s="1" t="n">
        <v>46260</v>
      </c>
      <c r="F9" t="inlineStr">
        <is>
          <t>BLEKINGE LÄN</t>
        </is>
      </c>
      <c r="G9" t="inlineStr">
        <is>
          <t>OLOFSTRÖM</t>
        </is>
      </c>
      <c r="H9" t="inlineStr">
        <is>
          <t>Övriga Aktiebolag</t>
        </is>
      </c>
      <c r="I9" t="n">
        <v>8</v>
      </c>
      <c r="J9" t="n">
        <v>2</v>
      </c>
      <c r="K9" t="n">
        <v>0</v>
      </c>
      <c r="L9" t="n">
        <v>1</v>
      </c>
      <c r="M9" t="n">
        <v>1</v>
      </c>
      <c r="N9" t="n">
        <v>0</v>
      </c>
      <c r="O9" t="n">
        <v>0</v>
      </c>
      <c r="P9" t="n">
        <v>0</v>
      </c>
      <c r="Q9" t="n">
        <v>2</v>
      </c>
      <c r="R9" t="n">
        <v>1</v>
      </c>
      <c r="S9" t="n">
        <v>3</v>
      </c>
      <c r="T9" t="n">
        <v>4</v>
      </c>
      <c r="U9" t="n">
        <v>2</v>
      </c>
      <c r="V9" s="2" t="inlineStr">
        <is>
          <t>Igelkott
Kungsfiskare
Utter</t>
        </is>
      </c>
      <c r="W9">
        <f>HYPERLINK("https://klasma.github.io/Logging_1060/artfynd/A 62747-2023 artfynd.xlsx", "A 62747-2023")</f>
        <v/>
      </c>
      <c r="X9">
        <f>HYPERLINK("https://klasma.github.io/Logging_1060/kartor/A 62747-2023 karta.png", "A 62747-2023")</f>
        <v/>
      </c>
      <c r="Y9">
        <f>HYPERLINK("https://klasma.github.io/Logging_1060/kartor_geotiff/A 62747-2023 georefererad karta.tif", "A 62747-2023")</f>
        <v/>
      </c>
      <c r="AA9">
        <f>HYPERLINK("https://klasma.github.io/Logging_1060/klagomål/A 62747-2023 FSC-klagomål.docx", "A 62747-2023")</f>
        <v/>
      </c>
      <c r="AB9">
        <f>HYPERLINK("https://klasma.github.io/Logging_1060/klagomålsmail/A 62747-2023 FSC-klagomål mail.docx", "A 62747-2023")</f>
        <v/>
      </c>
      <c r="AC9">
        <f>HYPERLINK("https://klasma.github.io/Logging_1060/tillsyn/A 62747-2023 tillsynsbegäran.docx", "A 62747-2023")</f>
        <v/>
      </c>
      <c r="AD9">
        <f>HYPERLINK("https://klasma.github.io/Logging_1060/tillsynsmail/A 62747-2023 tillsynsbegäran mail.docx", "A 62747-2023")</f>
        <v/>
      </c>
    </row>
    <row r="10" ht="15" customHeight="1">
      <c r="A10" t="inlineStr">
        <is>
          <t>A 74357-2021</t>
        </is>
      </c>
      <c r="B10" t="inlineStr">
        <is>
          <t>avverkningsanmälan</t>
        </is>
      </c>
      <c r="C10" t="inlineStr">
        <is>
          <t>Föryngringsavverkning</t>
        </is>
      </c>
      <c r="D10" s="1" t="n">
        <v>44559</v>
      </c>
      <c r="E10" s="1" t="n">
        <v>46260</v>
      </c>
      <c r="F10" t="inlineStr">
        <is>
          <t>BLEKINGE LÄN</t>
        </is>
      </c>
      <c r="G10" t="inlineStr">
        <is>
          <t>OLOFSTRÖM</t>
        </is>
      </c>
      <c r="I10" t="n">
        <v>3.8</v>
      </c>
      <c r="J10" t="n">
        <v>1</v>
      </c>
      <c r="K10" t="n">
        <v>1</v>
      </c>
      <c r="L10" t="n">
        <v>0</v>
      </c>
      <c r="M10" t="n">
        <v>0</v>
      </c>
      <c r="N10" t="n">
        <v>0</v>
      </c>
      <c r="O10" t="n">
        <v>0</v>
      </c>
      <c r="P10" t="n">
        <v>0</v>
      </c>
      <c r="Q10" t="n">
        <v>0</v>
      </c>
      <c r="R10" t="n">
        <v>0</v>
      </c>
      <c r="S10" t="n">
        <v>2</v>
      </c>
      <c r="T10" t="n">
        <v>2</v>
      </c>
      <c r="U10" t="n">
        <v>2</v>
      </c>
      <c r="V10" s="2" t="inlineStr">
        <is>
          <t>Björksplintborre
Vanlig padda</t>
        </is>
      </c>
      <c r="W10">
        <f>HYPERLINK("https://klasma.github.io/Logging_1060/artfynd/A 74357-2021 artfynd.xlsx", "A 74357-2021")</f>
        <v/>
      </c>
      <c r="X10">
        <f>HYPERLINK("https://klasma.github.io/Logging_1060/kartor/A 74357-2021 karta.png", "A 74357-2021")</f>
        <v/>
      </c>
      <c r="Y10">
        <f>HYPERLINK("https://klasma.github.io/Logging_1060/kartor_geotiff/A 74357-2021 georefererad karta.tif", "A 74357-2021")</f>
        <v/>
      </c>
      <c r="AA10">
        <f>HYPERLINK("https://klasma.github.io/Logging_1060/klagomål/A 74357-2021 FSC-klagomål.docx", "A 74357-2021")</f>
        <v/>
      </c>
      <c r="AB10">
        <f>HYPERLINK("https://klasma.github.io/Logging_1060/klagomålsmail/A 74357-2021 FSC-klagomål mail.docx", "A 74357-2021")</f>
        <v/>
      </c>
      <c r="AC10">
        <f>HYPERLINK("https://klasma.github.io/Logging_1060/tillsyn/A 74357-2021 tillsynsbegäran.docx", "A 74357-2021")</f>
        <v/>
      </c>
      <c r="AD10">
        <f>HYPERLINK("https://klasma.github.io/Logging_1060/tillsynsmail/A 74357-2021 tillsynsbegäran mail.docx", "A 74357-2021")</f>
        <v/>
      </c>
    </row>
    <row r="11" ht="15" customHeight="1">
      <c r="A11" t="inlineStr">
        <is>
          <t>A 59891-2024</t>
        </is>
      </c>
      <c r="B11" t="inlineStr">
        <is>
          <t>avverkningsanmälan</t>
        </is>
      </c>
      <c r="C11" t="inlineStr">
        <is>
          <t>Föryngringsavverkning</t>
        </is>
      </c>
      <c r="D11" s="1" t="n">
        <v>45641</v>
      </c>
      <c r="E11" s="1" t="n">
        <v>46260</v>
      </c>
      <c r="F11" t="inlineStr">
        <is>
          <t>BLEKINGE LÄN</t>
        </is>
      </c>
      <c r="G11" t="inlineStr">
        <is>
          <t>OLOFSTRÖM</t>
        </is>
      </c>
      <c r="I11" t="n">
        <v>4.3</v>
      </c>
      <c r="J11" t="n">
        <v>1</v>
      </c>
      <c r="K11" t="n">
        <v>0</v>
      </c>
      <c r="L11" t="n">
        <v>0</v>
      </c>
      <c r="M11" t="n">
        <v>1</v>
      </c>
      <c r="N11" t="n">
        <v>0</v>
      </c>
      <c r="O11" t="n">
        <v>0</v>
      </c>
      <c r="P11" t="n">
        <v>0</v>
      </c>
      <c r="Q11" t="n">
        <v>1</v>
      </c>
      <c r="R11" t="n">
        <v>1</v>
      </c>
      <c r="S11" t="n">
        <v>2</v>
      </c>
      <c r="T11" t="n">
        <v>4</v>
      </c>
      <c r="U11" t="n">
        <v>0</v>
      </c>
      <c r="V11" s="2" t="inlineStr">
        <is>
          <t>Sjötåtel
Revlummer</t>
        </is>
      </c>
      <c r="W11">
        <f>HYPERLINK("https://klasma.github.io/Logging_1060/artfynd/A 59891-2024 artfynd.xlsx", "A 59891-2024")</f>
        <v/>
      </c>
      <c r="X11">
        <f>HYPERLINK("https://klasma.github.io/Logging_1060/kartor/A 59891-2024 karta.png", "A 59891-2024")</f>
        <v/>
      </c>
      <c r="Y11">
        <f>HYPERLINK("https://klasma.github.io/Logging_1060/kartor_geotiff/A 59891-2024 georefererad karta.tif", "A 59891-2024")</f>
        <v/>
      </c>
      <c r="AA11">
        <f>HYPERLINK("https://klasma.github.io/Logging_1060/klagomål/A 59891-2024 FSC-klagomål.docx", "A 59891-2024")</f>
        <v/>
      </c>
      <c r="AB11">
        <f>HYPERLINK("https://klasma.github.io/Logging_1060/klagomålsmail/A 59891-2024 FSC-klagomål mail.docx", "A 59891-2024")</f>
        <v/>
      </c>
      <c r="AC11">
        <f>HYPERLINK("https://klasma.github.io/Logging_1060/tillsyn/A 59891-2024 tillsynsbegäran.docx", "A 59891-2024")</f>
        <v/>
      </c>
      <c r="AD11">
        <f>HYPERLINK("https://klasma.github.io/Logging_1060/tillsynsmail/A 59891-2024 tillsynsbegäran mail.docx", "A 59891-2024")</f>
        <v/>
      </c>
    </row>
    <row r="12" ht="15" customHeight="1">
      <c r="A12" t="inlineStr">
        <is>
          <t>A 46157-2024</t>
        </is>
      </c>
      <c r="B12" t="inlineStr">
        <is>
          <t>avverkningsanmälan</t>
        </is>
      </c>
      <c r="C12" t="inlineStr">
        <is>
          <t>Föryngringsavverkning</t>
        </is>
      </c>
      <c r="D12" s="1" t="n">
        <v>45581</v>
      </c>
      <c r="E12" s="1" t="n">
        <v>46260</v>
      </c>
      <c r="F12" t="inlineStr">
        <is>
          <t>BLEKINGE LÄN</t>
        </is>
      </c>
      <c r="G12" t="inlineStr">
        <is>
          <t>OLOFSTRÖM</t>
        </is>
      </c>
      <c r="I12" t="n">
        <v>0.5</v>
      </c>
      <c r="J12" t="n">
        <v>1</v>
      </c>
      <c r="K12" t="n">
        <v>1</v>
      </c>
      <c r="L12" t="n">
        <v>0</v>
      </c>
      <c r="M12" t="n">
        <v>1</v>
      </c>
      <c r="N12" t="n">
        <v>0</v>
      </c>
      <c r="O12" t="n">
        <v>0</v>
      </c>
      <c r="P12" t="n">
        <v>0</v>
      </c>
      <c r="Q12" t="n">
        <v>1</v>
      </c>
      <c r="R12" t="n">
        <v>1</v>
      </c>
      <c r="S12" t="n">
        <v>2</v>
      </c>
      <c r="T12" t="n">
        <v>2</v>
      </c>
      <c r="U12" t="n">
        <v>1</v>
      </c>
      <c r="V12" s="2" t="inlineStr">
        <is>
          <t>Knärot
Västlig hakmossa</t>
        </is>
      </c>
      <c r="W12">
        <f>HYPERLINK("https://klasma.github.io/Logging_1060/artfynd/A 46157-2024 artfynd.xlsx", "A 46157-2024")</f>
        <v/>
      </c>
      <c r="X12">
        <f>HYPERLINK("https://klasma.github.io/Logging_1060/kartor/A 46157-2024 karta.png", "A 46157-2024")</f>
        <v/>
      </c>
      <c r="Y12">
        <f>HYPERLINK("https://klasma.github.io/Logging_1060/kartor_geotiff/A 46157-2024 georefererad karta.tif", "A 46157-2024")</f>
        <v/>
      </c>
      <c r="Z12">
        <f>HYPERLINK("https://klasma.github.io/Logging_1060/knärot/A 46157-2024 karta knärot.png", "A 46157-2024")</f>
        <v/>
      </c>
      <c r="AA12">
        <f>HYPERLINK("https://klasma.github.io/Logging_1060/klagomål/A 46157-2024 FSC-klagomål.docx", "A 46157-2024")</f>
        <v/>
      </c>
      <c r="AB12">
        <f>HYPERLINK("https://klasma.github.io/Logging_1060/klagomålsmail/A 46157-2024 FSC-klagomål mail.docx", "A 46157-2024")</f>
        <v/>
      </c>
      <c r="AC12">
        <f>HYPERLINK("https://klasma.github.io/Logging_1060/tillsyn/A 46157-2024 tillsynsbegäran.docx", "A 46157-2024")</f>
        <v/>
      </c>
      <c r="AD12">
        <f>HYPERLINK("https://klasma.github.io/Logging_1060/tillsynsmail/A 46157-2024 tillsynsbegäran mail.docx", "A 46157-2024")</f>
        <v/>
      </c>
    </row>
    <row r="13" ht="15" customHeight="1">
      <c r="A13" t="inlineStr">
        <is>
          <t>A 32004-2023</t>
        </is>
      </c>
      <c r="B13" t="inlineStr">
        <is>
          <t>avverkningsanmälan</t>
        </is>
      </c>
      <c r="C13" t="inlineStr">
        <is>
          <t>Föryngringsavverkning</t>
        </is>
      </c>
      <c r="D13" s="1" t="n">
        <v>45107</v>
      </c>
      <c r="E13" s="1" t="n">
        <v>46260</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46918-2024</t>
        </is>
      </c>
      <c r="B14" t="inlineStr">
        <is>
          <t>avverkningsanmälan</t>
        </is>
      </c>
      <c r="C14" t="inlineStr">
        <is>
          <t>Föryngringsavverkning</t>
        </is>
      </c>
      <c r="D14" s="1" t="n">
        <v>45583</v>
      </c>
      <c r="E14" s="1" t="n">
        <v>46260</v>
      </c>
      <c r="F14" t="inlineStr">
        <is>
          <t>BLEKINGE LÄN</t>
        </is>
      </c>
      <c r="G14" t="inlineStr">
        <is>
          <t>OLOFSTRÖM</t>
        </is>
      </c>
      <c r="I14" t="n">
        <v>16</v>
      </c>
      <c r="J14" t="n">
        <v>0</v>
      </c>
      <c r="K14" t="n">
        <v>1</v>
      </c>
      <c r="L14" t="n">
        <v>1</v>
      </c>
      <c r="M14" t="n">
        <v>0</v>
      </c>
      <c r="N14" t="n">
        <v>0</v>
      </c>
      <c r="O14" t="n">
        <v>0</v>
      </c>
      <c r="P14" t="n">
        <v>0</v>
      </c>
      <c r="Q14" t="n">
        <v>1</v>
      </c>
      <c r="R14" t="n">
        <v>0</v>
      </c>
      <c r="S14" t="n">
        <v>2</v>
      </c>
      <c r="T14" t="n">
        <v>2</v>
      </c>
      <c r="U14" t="n">
        <v>0</v>
      </c>
      <c r="V14" s="2" t="inlineStr">
        <is>
          <t>Fyrflikig jordstjärna
Kamjordstjärna</t>
        </is>
      </c>
      <c r="W14">
        <f>HYPERLINK("https://klasma.github.io/Logging_1060/artfynd/A 46918-2024 artfynd.xlsx", "A 46918-2024")</f>
        <v/>
      </c>
      <c r="X14">
        <f>HYPERLINK("https://klasma.github.io/Logging_1060/kartor/A 46918-2024 karta.png", "A 46918-2024")</f>
        <v/>
      </c>
      <c r="Y14">
        <f>HYPERLINK("https://klasma.github.io/Logging_1060/kartor_geotiff/A 46918-2024 georefererad karta.tif", "A 46918-2024")</f>
        <v/>
      </c>
      <c r="AA14">
        <f>HYPERLINK("https://klasma.github.io/Logging_1060/klagomål/A 46918-2024 FSC-klagomål.docx", "A 46918-2024")</f>
        <v/>
      </c>
      <c r="AB14">
        <f>HYPERLINK("https://klasma.github.io/Logging_1060/klagomålsmail/A 46918-2024 FSC-klagomål mail.docx", "A 46918-2024")</f>
        <v/>
      </c>
      <c r="AC14">
        <f>HYPERLINK("https://klasma.github.io/Logging_1060/tillsyn/A 46918-2024 tillsynsbegäran.docx", "A 46918-2024")</f>
        <v/>
      </c>
      <c r="AD14">
        <f>HYPERLINK("https://klasma.github.io/Logging_1060/tillsynsmail/A 46918-2024 tillsynsbegäran mail.docx", "A 46918-2024")</f>
        <v/>
      </c>
    </row>
    <row r="15" ht="15" customHeight="1">
      <c r="A15" t="inlineStr">
        <is>
          <t>A 53806-2022</t>
        </is>
      </c>
      <c r="B15" t="inlineStr">
        <is>
          <t>avverkningsanmälan</t>
        </is>
      </c>
      <c r="C15" t="inlineStr">
        <is>
          <t>Föryngringsavverkning</t>
        </is>
      </c>
      <c r="D15" s="1" t="n">
        <v>44880</v>
      </c>
      <c r="E15" s="1" t="n">
        <v>46260</v>
      </c>
      <c r="F15" t="inlineStr">
        <is>
          <t>BLEKINGE LÄN</t>
        </is>
      </c>
      <c r="G15" t="inlineStr">
        <is>
          <t>OLOFSTRÖM</t>
        </is>
      </c>
      <c r="I15" t="n">
        <v>11.5</v>
      </c>
      <c r="J15" t="n">
        <v>0</v>
      </c>
      <c r="K15" t="n">
        <v>1</v>
      </c>
      <c r="L15" t="n">
        <v>0</v>
      </c>
      <c r="M15" t="n">
        <v>0</v>
      </c>
      <c r="N15" t="n">
        <v>0</v>
      </c>
      <c r="O15" t="n">
        <v>0</v>
      </c>
      <c r="P15" t="n">
        <v>0</v>
      </c>
      <c r="Q15" t="n">
        <v>0</v>
      </c>
      <c r="R15" t="n">
        <v>0</v>
      </c>
      <c r="S15" t="n">
        <v>1</v>
      </c>
      <c r="T15" t="n">
        <v>1</v>
      </c>
      <c r="U15" t="n">
        <v>0</v>
      </c>
      <c r="V15" s="2" t="inlineStr">
        <is>
          <t>Tibast</t>
        </is>
      </c>
      <c r="W15">
        <f>HYPERLINK("https://klasma.github.io/Logging_1060/artfynd/A 53806-2022 artfynd.xlsx", "A 53806-2022")</f>
        <v/>
      </c>
      <c r="X15">
        <f>HYPERLINK("https://klasma.github.io/Logging_1060/kartor/A 53806-2022 karta.png", "A 53806-2022")</f>
        <v/>
      </c>
      <c r="Y15">
        <f>HYPERLINK("https://klasma.github.io/Logging_1060/kartor_geotiff/A 53806-2022 georefererad karta.tif", "A 53806-2022")</f>
        <v/>
      </c>
      <c r="AA15">
        <f>HYPERLINK("https://klasma.github.io/Logging_1060/klagomål/A 53806-2022 FSC-klagomål.docx", "A 53806-2022")</f>
        <v/>
      </c>
      <c r="AB15">
        <f>HYPERLINK("https://klasma.github.io/Logging_1060/klagomålsmail/A 53806-2022 FSC-klagomål mail.docx", "A 53806-2022")</f>
        <v/>
      </c>
      <c r="AC15">
        <f>HYPERLINK("https://klasma.github.io/Logging_1060/tillsyn/A 53806-2022 tillsynsbegäran.docx", "A 53806-2022")</f>
        <v/>
      </c>
      <c r="AD15">
        <f>HYPERLINK("https://klasma.github.io/Logging_1060/tillsynsmail/A 53806-2022 tillsynsbegäran mail.docx", "A 53806-2022")</f>
        <v/>
      </c>
    </row>
    <row r="16" ht="15" customHeight="1">
      <c r="A16" t="inlineStr">
        <is>
          <t>A 650-2022</t>
        </is>
      </c>
      <c r="B16" t="inlineStr">
        <is>
          <t>avverkningsanmälan</t>
        </is>
      </c>
      <c r="C16" t="inlineStr">
        <is>
          <t>Föryngringsavverkning</t>
        </is>
      </c>
      <c r="D16" s="1" t="n">
        <v>44568</v>
      </c>
      <c r="E16" s="1" t="n">
        <v>46260</v>
      </c>
      <c r="F16" t="inlineStr">
        <is>
          <t>BLEKINGE LÄN</t>
        </is>
      </c>
      <c r="G16" t="inlineStr">
        <is>
          <t>OLOFSTRÖM</t>
        </is>
      </c>
      <c r="H16" t="inlineStr">
        <is>
          <t>Sveaskog</t>
        </is>
      </c>
      <c r="I16" t="n">
        <v>5.8</v>
      </c>
      <c r="J16" t="n">
        <v>0</v>
      </c>
      <c r="K16" t="n">
        <v>1</v>
      </c>
      <c r="L16" t="n">
        <v>0</v>
      </c>
      <c r="M16" t="n">
        <v>0</v>
      </c>
      <c r="N16" t="n">
        <v>0</v>
      </c>
      <c r="O16" t="n">
        <v>0</v>
      </c>
      <c r="P16" t="n">
        <v>0</v>
      </c>
      <c r="Q16" t="n">
        <v>0</v>
      </c>
      <c r="R16" t="n">
        <v>0</v>
      </c>
      <c r="S16" t="n">
        <v>1</v>
      </c>
      <c r="T16" t="n">
        <v>1</v>
      </c>
      <c r="U16" t="n">
        <v>1</v>
      </c>
      <c r="V16" s="2" t="inlineStr">
        <is>
          <t>Stor revmossa</t>
        </is>
      </c>
      <c r="W16">
        <f>HYPERLINK("https://klasma.github.io/Logging_1060/artfynd/A 650-2022 artfynd.xlsx", "A 650-2022")</f>
        <v/>
      </c>
      <c r="X16">
        <f>HYPERLINK("https://klasma.github.io/Logging_1060/kartor/A 650-2022 karta.png", "A 650-2022")</f>
        <v/>
      </c>
      <c r="Y16">
        <f>HYPERLINK("https://klasma.github.io/Logging_1060/kartor_geotiff/A 650-2022 georefererad karta.tif", "A 650-2022")</f>
        <v/>
      </c>
      <c r="AA16">
        <f>HYPERLINK("https://klasma.github.io/Logging_1060/klagomål/A 650-2022 FSC-klagomål.docx", "A 650-2022")</f>
        <v/>
      </c>
      <c r="AB16">
        <f>HYPERLINK("https://klasma.github.io/Logging_1060/klagomålsmail/A 650-2022 FSC-klagomål mail.docx", "A 650-2022")</f>
        <v/>
      </c>
      <c r="AC16">
        <f>HYPERLINK("https://klasma.github.io/Logging_1060/tillsyn/A 650-2022 tillsynsbegäran.docx", "A 650-2022")</f>
        <v/>
      </c>
      <c r="AD16">
        <f>HYPERLINK("https://klasma.github.io/Logging_1060/tillsynsmail/A 650-2022 tillsynsbegäran mail.docx", "A 650-2022")</f>
        <v/>
      </c>
    </row>
    <row r="17" ht="15" customHeight="1">
      <c r="A17" t="inlineStr">
        <is>
          <t>A 45688-2023</t>
        </is>
      </c>
      <c r="B17" t="inlineStr">
        <is>
          <t>avverkningsanmälan</t>
        </is>
      </c>
      <c r="C17" t="inlineStr">
        <is>
          <t>Föryngringsavverkning</t>
        </is>
      </c>
      <c r="D17" s="1" t="n">
        <v>45195</v>
      </c>
      <c r="E17" s="1" t="n">
        <v>46260</v>
      </c>
      <c r="F17" t="inlineStr">
        <is>
          <t>BLEKINGE LÄN</t>
        </is>
      </c>
      <c r="G17" t="inlineStr">
        <is>
          <t>OLOFSTRÖM</t>
        </is>
      </c>
      <c r="I17" t="n">
        <v>6.7</v>
      </c>
      <c r="J17" t="n">
        <v>0</v>
      </c>
      <c r="K17" t="n">
        <v>0</v>
      </c>
      <c r="L17" t="n">
        <v>0</v>
      </c>
      <c r="M17" t="n">
        <v>1</v>
      </c>
      <c r="N17" t="n">
        <v>0</v>
      </c>
      <c r="O17" t="n">
        <v>0</v>
      </c>
      <c r="P17" t="n">
        <v>0</v>
      </c>
      <c r="Q17" t="n">
        <v>1</v>
      </c>
      <c r="R17" t="n">
        <v>1</v>
      </c>
      <c r="S17" t="n">
        <v>1</v>
      </c>
      <c r="T17" t="n">
        <v>1</v>
      </c>
      <c r="U17" t="n">
        <v>0</v>
      </c>
      <c r="V17" s="2" t="inlineStr">
        <is>
          <t>Slåttergubbe</t>
        </is>
      </c>
      <c r="W17">
        <f>HYPERLINK("https://klasma.github.io/Logging_1060/artfynd/A 45688-2023 artfynd.xlsx", "A 45688-2023")</f>
        <v/>
      </c>
      <c r="X17">
        <f>HYPERLINK("https://klasma.github.io/Logging_1060/kartor/A 45688-2023 karta.png", "A 45688-2023")</f>
        <v/>
      </c>
      <c r="Y17">
        <f>HYPERLINK("https://klasma.github.io/Logging_1060/kartor_geotiff/A 45688-2023 georefererad karta.tif", "A 45688-2023")</f>
        <v/>
      </c>
      <c r="AA17">
        <f>HYPERLINK("https://klasma.github.io/Logging_1060/klagomål/A 45688-2023 FSC-klagomål.docx", "A 45688-2023")</f>
        <v/>
      </c>
      <c r="AB17">
        <f>HYPERLINK("https://klasma.github.io/Logging_1060/klagomålsmail/A 45688-2023 FSC-klagomål mail.docx", "A 45688-2023")</f>
        <v/>
      </c>
      <c r="AC17">
        <f>HYPERLINK("https://klasma.github.io/Logging_1060/tillsyn/A 45688-2023 tillsynsbegäran.docx", "A 45688-2023")</f>
        <v/>
      </c>
      <c r="AD17">
        <f>HYPERLINK("https://klasma.github.io/Logging_1060/tillsynsmail/A 45688-2023 tillsynsbegäran mail.docx", "A 45688-2023")</f>
        <v/>
      </c>
    </row>
    <row r="18" ht="15" customHeight="1">
      <c r="A18" t="inlineStr">
        <is>
          <t>A 34742-2023</t>
        </is>
      </c>
      <c r="B18" t="inlineStr">
        <is>
          <t>avverkningsanmälan</t>
        </is>
      </c>
      <c r="C18" t="inlineStr">
        <is>
          <t>Föryngringsavverkning</t>
        </is>
      </c>
      <c r="D18" s="1" t="n">
        <v>45141</v>
      </c>
      <c r="E18" s="1" t="n">
        <v>46260</v>
      </c>
      <c r="F18" t="inlineStr">
        <is>
          <t>BLEKINGE LÄN</t>
        </is>
      </c>
      <c r="G18" t="inlineStr">
        <is>
          <t>OLOFSTRÖM</t>
        </is>
      </c>
      <c r="I18" t="n">
        <v>3.6</v>
      </c>
      <c r="J18" t="n">
        <v>0</v>
      </c>
      <c r="K18" t="n">
        <v>1</v>
      </c>
      <c r="L18" t="n">
        <v>0</v>
      </c>
      <c r="M18" t="n">
        <v>0</v>
      </c>
      <c r="N18" t="n">
        <v>0</v>
      </c>
      <c r="O18" t="n">
        <v>0</v>
      </c>
      <c r="P18" t="n">
        <v>0</v>
      </c>
      <c r="Q18" t="n">
        <v>0</v>
      </c>
      <c r="R18" t="n">
        <v>0</v>
      </c>
      <c r="S18" t="n">
        <v>1</v>
      </c>
      <c r="T18" t="n">
        <v>1</v>
      </c>
      <c r="U18" t="n">
        <v>1</v>
      </c>
      <c r="V18" s="2" t="inlineStr">
        <is>
          <t>Guldlockmossa</t>
        </is>
      </c>
      <c r="W18">
        <f>HYPERLINK("https://klasma.github.io/Logging_1060/artfynd/A 34742-2023 artfynd.xlsx", "A 34742-2023")</f>
        <v/>
      </c>
      <c r="X18">
        <f>HYPERLINK("https://klasma.github.io/Logging_1060/kartor/A 34742-2023 karta.png", "A 34742-2023")</f>
        <v/>
      </c>
      <c r="Y18">
        <f>HYPERLINK("https://klasma.github.io/Logging_1060/kartor_geotiff/A 34742-2023 georefererad karta.tif", "A 34742-2023")</f>
        <v/>
      </c>
      <c r="AA18">
        <f>HYPERLINK("https://klasma.github.io/Logging_1060/klagomål/A 34742-2023 FSC-klagomål.docx", "A 34742-2023")</f>
        <v/>
      </c>
      <c r="AB18">
        <f>HYPERLINK("https://klasma.github.io/Logging_1060/klagomålsmail/A 34742-2023 FSC-klagomål mail.docx", "A 34742-2023")</f>
        <v/>
      </c>
      <c r="AC18">
        <f>HYPERLINK("https://klasma.github.io/Logging_1060/tillsyn/A 34742-2023 tillsynsbegäran.docx", "A 34742-2023")</f>
        <v/>
      </c>
      <c r="AD18">
        <f>HYPERLINK("https://klasma.github.io/Logging_1060/tillsynsmail/A 34742-2023 tillsynsbegäran mail.docx", "A 34742-2023")</f>
        <v/>
      </c>
    </row>
    <row r="19" ht="15" customHeight="1">
      <c r="A19" t="inlineStr">
        <is>
          <t>A 5425-2026</t>
        </is>
      </c>
      <c r="B19" t="inlineStr">
        <is>
          <t>avverkningsanmälan</t>
        </is>
      </c>
      <c r="C19" t="inlineStr">
        <is>
          <t>Föryngringsavverkning</t>
        </is>
      </c>
      <c r="D19" s="1" t="n">
        <v>46050</v>
      </c>
      <c r="E19" s="1" t="n">
        <v>46260</v>
      </c>
      <c r="F19" t="inlineStr">
        <is>
          <t>BLEKINGE LÄN</t>
        </is>
      </c>
      <c r="G19" t="inlineStr">
        <is>
          <t>OLOFSTRÖM</t>
        </is>
      </c>
      <c r="I19" t="n">
        <v>5.4</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HYPERLINK("https://klasma.github.io/Logging_1060/artfynd/A 5425-2026 artfynd.xlsx", "A 5425-2026")</f>
        <v/>
      </c>
      <c r="X19">
        <f>HYPERLINK("https://klasma.github.io/Logging_1060/kartor/A 5425-2026 karta.png", "A 5425-2026")</f>
        <v/>
      </c>
      <c r="Y19">
        <f>HYPERLINK("https://klasma.github.io/Logging_1060/kartor_geotiff/A 5425-2026 georefererad karta.tif", "A 5425-2026")</f>
        <v/>
      </c>
      <c r="AA19">
        <f>HYPERLINK("https://klasma.github.io/Logging_1060/klagomål/A 5425-2026 FSC-klagomål.docx", "A 5425-2026")</f>
        <v/>
      </c>
      <c r="AB19">
        <f>HYPERLINK("https://klasma.github.io/Logging_1060/klagomålsmail/A 5425-2026 FSC-klagomål mail.docx", "A 5425-2026")</f>
        <v/>
      </c>
      <c r="AC19">
        <f>HYPERLINK("https://klasma.github.io/Logging_1060/tillsyn/A 5425-2026 tillsynsbegäran.docx", "A 5425-2026")</f>
        <v/>
      </c>
      <c r="AD19">
        <f>HYPERLINK("https://klasma.github.io/Logging_1060/tillsynsmail/A 5425-2026 tillsynsbegäran mail.docx", "A 5425-2026")</f>
        <v/>
      </c>
    </row>
    <row r="20" ht="15" customHeight="1">
      <c r="A20" t="inlineStr">
        <is>
          <t>A 9313-2026</t>
        </is>
      </c>
      <c r="B20" t="inlineStr">
        <is>
          <t>avverkningsanmälan</t>
        </is>
      </c>
      <c r="C20" t="inlineStr">
        <is>
          <t>Föryngringsavverkning</t>
        </is>
      </c>
      <c r="D20" s="1" t="n">
        <v>46070</v>
      </c>
      <c r="E20" s="1" t="n">
        <v>46260</v>
      </c>
      <c r="F20" t="inlineStr">
        <is>
          <t>BLEKINGE LÄN</t>
        </is>
      </c>
      <c r="G20" t="inlineStr">
        <is>
          <t>OLOFSTRÖM</t>
        </is>
      </c>
      <c r="I20" t="n">
        <v>12.5</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HYPERLINK("https://klasma.github.io/Logging_1060/artfynd/A 9313-2026 artfynd.xlsx", "A 9313-2026")</f>
        <v/>
      </c>
      <c r="X20">
        <f>HYPERLINK("https://klasma.github.io/Logging_1060/kartor/A 9313-2026 karta.png", "A 9313-2026")</f>
        <v/>
      </c>
      <c r="Y20">
        <f>HYPERLINK("https://klasma.github.io/Logging_1060/kartor_geotiff/A 9313-2026 georefererad karta.tif", "A 9313-2026")</f>
        <v/>
      </c>
      <c r="AA20">
        <f>HYPERLINK("https://klasma.github.io/Logging_1060/klagomål/A 9313-2026 FSC-klagomål.docx", "A 9313-2026")</f>
        <v/>
      </c>
      <c r="AB20">
        <f>HYPERLINK("https://klasma.github.io/Logging_1060/klagomålsmail/A 9313-2026 FSC-klagomål mail.docx", "A 9313-2026")</f>
        <v/>
      </c>
      <c r="AC20">
        <f>HYPERLINK("https://klasma.github.io/Logging_1060/tillsyn/A 9313-2026 tillsynsbegäran.docx", "A 9313-2026")</f>
        <v/>
      </c>
      <c r="AD20">
        <f>HYPERLINK("https://klasma.github.io/Logging_1060/tillsynsmail/A 9313-2026 tillsynsbegäran mail.docx", "A 9313-2026")</f>
        <v/>
      </c>
    </row>
    <row r="21" ht="15" customHeight="1">
      <c r="A21" t="inlineStr">
        <is>
          <t>A 47776-2023</t>
        </is>
      </c>
      <c r="B21" t="inlineStr">
        <is>
          <t>avverkningsanmälan</t>
        </is>
      </c>
      <c r="C21" t="inlineStr">
        <is>
          <t>Föryngringsavverkning</t>
        </is>
      </c>
      <c r="D21" s="1" t="n">
        <v>45203</v>
      </c>
      <c r="E21" s="1" t="n">
        <v>46260</v>
      </c>
      <c r="F21" t="inlineStr">
        <is>
          <t>BLEKINGE LÄN</t>
        </is>
      </c>
      <c r="G21" t="inlineStr">
        <is>
          <t>OLOFSTRÖM</t>
        </is>
      </c>
      <c r="I21" t="n">
        <v>1.4</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47776-2023 artfynd.xlsx", "A 47776-2023")</f>
        <v/>
      </c>
      <c r="X21">
        <f>HYPERLINK("https://klasma.github.io/Logging_1060/kartor/A 47776-2023 karta.png", "A 47776-2023")</f>
        <v/>
      </c>
      <c r="Y21">
        <f>HYPERLINK("https://klasma.github.io/Logging_1060/kartor_geotiff/A 47776-2023 georefererad karta.tif", "A 47776-2023")</f>
        <v/>
      </c>
      <c r="AA21">
        <f>HYPERLINK("https://klasma.github.io/Logging_1060/klagomål/A 47776-2023 FSC-klagomål.docx", "A 47776-2023")</f>
        <v/>
      </c>
      <c r="AB21">
        <f>HYPERLINK("https://klasma.github.io/Logging_1060/klagomålsmail/A 47776-2023 FSC-klagomål mail.docx", "A 47776-2023")</f>
        <v/>
      </c>
      <c r="AC21">
        <f>HYPERLINK("https://klasma.github.io/Logging_1060/tillsyn/A 47776-2023 tillsynsbegäran.docx", "A 47776-2023")</f>
        <v/>
      </c>
      <c r="AD21">
        <f>HYPERLINK("https://klasma.github.io/Logging_1060/tillsynsmail/A 47776-2023 tillsynsbegäran mail.docx", "A 47776-2023")</f>
        <v/>
      </c>
    </row>
    <row r="22" ht="15" customHeight="1">
      <c r="A22" t="inlineStr">
        <is>
          <t>A 39085-2024</t>
        </is>
      </c>
      <c r="B22" t="inlineStr">
        <is>
          <t>avverkningsanmälan</t>
        </is>
      </c>
      <c r="C22" t="inlineStr">
        <is>
          <t>Föryngringsavverkning</t>
        </is>
      </c>
      <c r="D22" s="1" t="n">
        <v>45548</v>
      </c>
      <c r="E22" s="1" t="n">
        <v>46260</v>
      </c>
      <c r="F22" t="inlineStr">
        <is>
          <t>BLEKINGE LÄN</t>
        </is>
      </c>
      <c r="G22" t="inlineStr">
        <is>
          <t>OLOFSTRÖM</t>
        </is>
      </c>
      <c r="I22" t="n">
        <v>2.3</v>
      </c>
      <c r="J22" t="n">
        <v>1</v>
      </c>
      <c r="K22" t="n">
        <v>1</v>
      </c>
      <c r="L22" t="n">
        <v>0</v>
      </c>
      <c r="M22" t="n">
        <v>0</v>
      </c>
      <c r="N22" t="n">
        <v>0</v>
      </c>
      <c r="O22" t="n">
        <v>0</v>
      </c>
      <c r="P22" t="n">
        <v>0</v>
      </c>
      <c r="Q22" t="n">
        <v>0</v>
      </c>
      <c r="R22" t="n">
        <v>0</v>
      </c>
      <c r="S22" t="n">
        <v>1</v>
      </c>
      <c r="T22" t="n">
        <v>1</v>
      </c>
      <c r="U22" t="n">
        <v>1</v>
      </c>
      <c r="V22" s="2" t="inlineStr">
        <is>
          <t>Korallrot</t>
        </is>
      </c>
      <c r="W22">
        <f>HYPERLINK("https://klasma.github.io/Logging_1060/artfynd/A 39085-2024 artfynd.xlsx", "A 39085-2024")</f>
        <v/>
      </c>
      <c r="X22">
        <f>HYPERLINK("https://klasma.github.io/Logging_1060/kartor/A 39085-2024 karta.png", "A 39085-2024")</f>
        <v/>
      </c>
      <c r="Y22">
        <f>HYPERLINK("https://klasma.github.io/Logging_1060/kartor_geotiff/A 39085-2024 georefererad karta.tif", "A 39085-2024")</f>
        <v/>
      </c>
      <c r="AA22">
        <f>HYPERLINK("https://klasma.github.io/Logging_1060/klagomål/A 39085-2024 FSC-klagomål.docx", "A 39085-2024")</f>
        <v/>
      </c>
      <c r="AB22">
        <f>HYPERLINK("https://klasma.github.io/Logging_1060/klagomålsmail/A 39085-2024 FSC-klagomål mail.docx", "A 39085-2024")</f>
        <v/>
      </c>
      <c r="AC22">
        <f>HYPERLINK("https://klasma.github.io/Logging_1060/tillsyn/A 39085-2024 tillsynsbegäran.docx", "A 39085-2024")</f>
        <v/>
      </c>
      <c r="AD22">
        <f>HYPERLINK("https://klasma.github.io/Logging_1060/tillsynsmail/A 39085-2024 tillsynsbegäran mail.docx", "A 39085-2024")</f>
        <v/>
      </c>
    </row>
    <row r="23" ht="15" customHeight="1">
      <c r="A23" t="inlineStr">
        <is>
          <t>A 39104-2024</t>
        </is>
      </c>
      <c r="B23" t="inlineStr">
        <is>
          <t>avverkningsanmälan</t>
        </is>
      </c>
      <c r="C23" t="inlineStr">
        <is>
          <t>Föryngringsavverkning</t>
        </is>
      </c>
      <c r="D23" s="1" t="n">
        <v>45548</v>
      </c>
      <c r="E23" s="1" t="n">
        <v>46260</v>
      </c>
      <c r="F23" t="inlineStr">
        <is>
          <t>BLEKINGE LÄN</t>
        </is>
      </c>
      <c r="G23" t="inlineStr">
        <is>
          <t>OLOFSTRÖM</t>
        </is>
      </c>
      <c r="I23" t="n">
        <v>7.7</v>
      </c>
      <c r="J23" t="n">
        <v>0</v>
      </c>
      <c r="K23" t="n">
        <v>1</v>
      </c>
      <c r="L23" t="n">
        <v>0</v>
      </c>
      <c r="M23" t="n">
        <v>0</v>
      </c>
      <c r="N23" t="n">
        <v>0</v>
      </c>
      <c r="O23" t="n">
        <v>0</v>
      </c>
      <c r="P23" t="n">
        <v>0</v>
      </c>
      <c r="Q23" t="n">
        <v>0</v>
      </c>
      <c r="R23" t="n">
        <v>0</v>
      </c>
      <c r="S23" t="n">
        <v>1</v>
      </c>
      <c r="T23" t="n">
        <v>1</v>
      </c>
      <c r="U23" t="n">
        <v>0</v>
      </c>
      <c r="V23" s="2" t="inlineStr">
        <is>
          <t>Sotriska</t>
        </is>
      </c>
      <c r="W23">
        <f>HYPERLINK("https://klasma.github.io/Logging_1060/artfynd/A 39104-2024 artfynd.xlsx", "A 39104-2024")</f>
        <v/>
      </c>
      <c r="X23">
        <f>HYPERLINK("https://klasma.github.io/Logging_1060/kartor/A 39104-2024 karta.png", "A 39104-2024")</f>
        <v/>
      </c>
      <c r="Y23">
        <f>HYPERLINK("https://klasma.github.io/Logging_1060/kartor_geotiff/A 39104-2024 georefererad karta.tif", "A 39104-2024")</f>
        <v/>
      </c>
      <c r="AA23">
        <f>HYPERLINK("https://klasma.github.io/Logging_1060/klagomål/A 39104-2024 FSC-klagomål.docx", "A 39104-2024")</f>
        <v/>
      </c>
      <c r="AB23">
        <f>HYPERLINK("https://klasma.github.io/Logging_1060/klagomålsmail/A 39104-2024 FSC-klagomål mail.docx", "A 39104-2024")</f>
        <v/>
      </c>
      <c r="AC23">
        <f>HYPERLINK("https://klasma.github.io/Logging_1060/tillsyn/A 39104-2024 tillsynsbegäran.docx", "A 39104-2024")</f>
        <v/>
      </c>
      <c r="AD23">
        <f>HYPERLINK("https://klasma.github.io/Logging_1060/tillsynsmail/A 39104-2024 tillsynsbegäran mail.docx", "A 39104-2024")</f>
        <v/>
      </c>
    </row>
    <row r="24" ht="15" customHeight="1">
      <c r="A24" t="inlineStr">
        <is>
          <t>A 27979-2023</t>
        </is>
      </c>
      <c r="B24" t="inlineStr">
        <is>
          <t>avverkningsanmälan</t>
        </is>
      </c>
      <c r="C24" t="inlineStr">
        <is>
          <t>Föryngringsavverkning</t>
        </is>
      </c>
      <c r="D24" s="1" t="n">
        <v>45098</v>
      </c>
      <c r="E24" s="1" t="n">
        <v>46260</v>
      </c>
      <c r="F24" t="inlineStr">
        <is>
          <t>BLEKINGE LÄN</t>
        </is>
      </c>
      <c r="G24" t="inlineStr">
        <is>
          <t>OLOFSTRÖM</t>
        </is>
      </c>
      <c r="I24" t="n">
        <v>1.9</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HYPERLINK("https://klasma.github.io/Logging_1060/artfynd/A 27979-2023 artfynd.xlsx", "A 27979-2023")</f>
        <v/>
      </c>
      <c r="X24">
        <f>HYPERLINK("https://klasma.github.io/Logging_1060/kartor/A 27979-2023 karta.png", "A 27979-2023")</f>
        <v/>
      </c>
      <c r="Y24">
        <f>HYPERLINK("https://klasma.github.io/Logging_1060/kartor_geotiff/A 27979-2023 georefererad karta.tif", "A 27979-2023")</f>
        <v/>
      </c>
      <c r="AA24">
        <f>HYPERLINK("https://klasma.github.io/Logging_1060/klagomål/A 27979-2023 FSC-klagomål.docx", "A 27979-2023")</f>
        <v/>
      </c>
      <c r="AB24">
        <f>HYPERLINK("https://klasma.github.io/Logging_1060/klagomålsmail/A 27979-2023 FSC-klagomål mail.docx", "A 27979-2023")</f>
        <v/>
      </c>
      <c r="AC24">
        <f>HYPERLINK("https://klasma.github.io/Logging_1060/tillsyn/A 27979-2023 tillsynsbegäran.docx", "A 27979-2023")</f>
        <v/>
      </c>
      <c r="AD24">
        <f>HYPERLINK("https://klasma.github.io/Logging_1060/tillsynsmail/A 27979-2023 tillsynsbegäran mail.docx", "A 27979-2023")</f>
        <v/>
      </c>
    </row>
    <row r="25" ht="15" customHeight="1">
      <c r="A25" t="inlineStr">
        <is>
          <t>A 33416-2023</t>
        </is>
      </c>
      <c r="B25" t="inlineStr">
        <is>
          <t>avverkningsanmälan</t>
        </is>
      </c>
      <c r="C25" t="inlineStr">
        <is>
          <t>Föryngringsavverkning</t>
        </is>
      </c>
      <c r="D25" s="1" t="n">
        <v>45117</v>
      </c>
      <c r="E25" s="1" t="n">
        <v>46260</v>
      </c>
      <c r="F25" t="inlineStr">
        <is>
          <t>BLEKINGE LÄN</t>
        </is>
      </c>
      <c r="G25" t="inlineStr">
        <is>
          <t>OLOFSTRÖM</t>
        </is>
      </c>
      <c r="I25" t="n">
        <v>2.1</v>
      </c>
      <c r="J25" t="n">
        <v>0</v>
      </c>
      <c r="K25" t="n">
        <v>1</v>
      </c>
      <c r="L25" t="n">
        <v>0</v>
      </c>
      <c r="M25" t="n">
        <v>0</v>
      </c>
      <c r="N25" t="n">
        <v>0</v>
      </c>
      <c r="O25" t="n">
        <v>0</v>
      </c>
      <c r="P25" t="n">
        <v>0</v>
      </c>
      <c r="Q25" t="n">
        <v>0</v>
      </c>
      <c r="R25" t="n">
        <v>0</v>
      </c>
      <c r="S25" t="n">
        <v>1</v>
      </c>
      <c r="T25" t="n">
        <v>1</v>
      </c>
      <c r="U25" t="n">
        <v>0</v>
      </c>
      <c r="V25" s="2" t="inlineStr">
        <is>
          <t>Skogsbräsma</t>
        </is>
      </c>
      <c r="W25">
        <f>HYPERLINK("https://klasma.github.io/Logging_1060/artfynd/A 33416-2023 artfynd.xlsx", "A 33416-2023")</f>
        <v/>
      </c>
      <c r="X25">
        <f>HYPERLINK("https://klasma.github.io/Logging_1060/kartor/A 33416-2023 karta.png", "A 33416-2023")</f>
        <v/>
      </c>
      <c r="Y25">
        <f>HYPERLINK("https://klasma.github.io/Logging_1060/kartor_geotiff/A 33416-2023 georefererad karta.tif", "A 33416-2023")</f>
        <v/>
      </c>
      <c r="AA25">
        <f>HYPERLINK("https://klasma.github.io/Logging_1060/klagomål/A 33416-2023 FSC-klagomål.docx", "A 33416-2023")</f>
        <v/>
      </c>
      <c r="AB25">
        <f>HYPERLINK("https://klasma.github.io/Logging_1060/klagomålsmail/A 33416-2023 FSC-klagomål mail.docx", "A 33416-2023")</f>
        <v/>
      </c>
      <c r="AC25">
        <f>HYPERLINK("https://klasma.github.io/Logging_1060/tillsyn/A 33416-2023 tillsynsbegäran.docx", "A 33416-2023")</f>
        <v/>
      </c>
      <c r="AD25">
        <f>HYPERLINK("https://klasma.github.io/Logging_1060/tillsynsmail/A 33416-2023 tillsynsbegäran mail.docx", "A 33416-2023")</f>
        <v/>
      </c>
    </row>
    <row r="26" ht="15" customHeight="1">
      <c r="A26" t="inlineStr">
        <is>
          <t>A 46675-2024</t>
        </is>
      </c>
      <c r="B26" t="inlineStr">
        <is>
          <t>avverkningsanmälan</t>
        </is>
      </c>
      <c r="C26" t="inlineStr">
        <is>
          <t>Föryngringsavverkning</t>
        </is>
      </c>
      <c r="D26" s="1" t="n">
        <v>45583</v>
      </c>
      <c r="E26" s="1" t="n">
        <v>46260</v>
      </c>
      <c r="F26" t="inlineStr">
        <is>
          <t>BLEKINGE LÄN</t>
        </is>
      </c>
      <c r="G26" t="inlineStr">
        <is>
          <t>OLOFSTRÖM</t>
        </is>
      </c>
      <c r="I26" t="n">
        <v>2.7</v>
      </c>
      <c r="J26" t="n">
        <v>0</v>
      </c>
      <c r="K26" t="n">
        <v>0</v>
      </c>
      <c r="L26" t="n">
        <v>1</v>
      </c>
      <c r="M26" t="n">
        <v>0</v>
      </c>
      <c r="N26" t="n">
        <v>0</v>
      </c>
      <c r="O26" t="n">
        <v>0</v>
      </c>
      <c r="P26" t="n">
        <v>0</v>
      </c>
      <c r="Q26" t="n">
        <v>1</v>
      </c>
      <c r="R26" t="n">
        <v>0</v>
      </c>
      <c r="S26" t="n">
        <v>1</v>
      </c>
      <c r="T26" t="n">
        <v>1</v>
      </c>
      <c r="U26" t="n">
        <v>0</v>
      </c>
      <c r="V26" s="2" t="inlineStr">
        <is>
          <t>Sommarfibbla</t>
        </is>
      </c>
      <c r="W26">
        <f>HYPERLINK("https://klasma.github.io/Logging_1060/artfynd/A 46675-2024 artfynd.xlsx", "A 46675-2024")</f>
        <v/>
      </c>
      <c r="X26">
        <f>HYPERLINK("https://klasma.github.io/Logging_1060/kartor/A 46675-2024 karta.png", "A 46675-2024")</f>
        <v/>
      </c>
      <c r="Y26">
        <f>HYPERLINK("https://klasma.github.io/Logging_1060/kartor_geotiff/A 46675-2024 georefererad karta.tif", "A 46675-2024")</f>
        <v/>
      </c>
      <c r="AA26">
        <f>HYPERLINK("https://klasma.github.io/Logging_1060/klagomål/A 46675-2024 FSC-klagomål.docx", "A 46675-2024")</f>
        <v/>
      </c>
      <c r="AB26">
        <f>HYPERLINK("https://klasma.github.io/Logging_1060/klagomålsmail/A 46675-2024 FSC-klagomål mail.docx", "A 46675-2024")</f>
        <v/>
      </c>
      <c r="AC26">
        <f>HYPERLINK("https://klasma.github.io/Logging_1060/tillsyn/A 46675-2024 tillsynsbegäran.docx", "A 46675-2024")</f>
        <v/>
      </c>
      <c r="AD26">
        <f>HYPERLINK("https://klasma.github.io/Logging_1060/tillsynsmail/A 46675-2024 tillsynsbegäran mail.docx", "A 46675-2024")</f>
        <v/>
      </c>
    </row>
    <row r="27" ht="15" customHeight="1">
      <c r="A27" t="inlineStr">
        <is>
          <t>A 48467-2022</t>
        </is>
      </c>
      <c r="B27" t="inlineStr">
        <is>
          <t>avverkningsanmälan</t>
        </is>
      </c>
      <c r="C27" t="inlineStr">
        <is>
          <t>Föryngringsavverkning</t>
        </is>
      </c>
      <c r="D27" s="1" t="n">
        <v>44858</v>
      </c>
      <c r="E27" s="1" t="n">
        <v>46260</v>
      </c>
      <c r="F27" t="inlineStr">
        <is>
          <t>BLEKINGE LÄN</t>
        </is>
      </c>
      <c r="G27" t="inlineStr">
        <is>
          <t>OLOFSTRÖM</t>
        </is>
      </c>
      <c r="I27" t="n">
        <v>2.7</v>
      </c>
      <c r="J27" t="n">
        <v>0</v>
      </c>
      <c r="K27" t="n">
        <v>0</v>
      </c>
      <c r="L27" t="n">
        <v>0</v>
      </c>
      <c r="M27" t="n">
        <v>1</v>
      </c>
      <c r="N27" t="n">
        <v>0</v>
      </c>
      <c r="O27" t="n">
        <v>0</v>
      </c>
      <c r="P27" t="n">
        <v>0</v>
      </c>
      <c r="Q27" t="n">
        <v>1</v>
      </c>
      <c r="R27" t="n">
        <v>1</v>
      </c>
      <c r="S27" t="n">
        <v>1</v>
      </c>
      <c r="T27" t="n">
        <v>1</v>
      </c>
      <c r="U27" t="n">
        <v>0</v>
      </c>
      <c r="V27" s="2" t="inlineStr">
        <is>
          <t>Småvänderot</t>
        </is>
      </c>
      <c r="W27">
        <f>HYPERLINK("https://klasma.github.io/Logging_1060/artfynd/A 48467-2022 artfynd.xlsx", "A 48467-2022")</f>
        <v/>
      </c>
      <c r="X27">
        <f>HYPERLINK("https://klasma.github.io/Logging_1060/kartor/A 48467-2022 karta.png", "A 48467-2022")</f>
        <v/>
      </c>
      <c r="Y27">
        <f>HYPERLINK("https://klasma.github.io/Logging_1060/kartor_geotiff/A 48467-2022 georefererad karta.tif", "A 48467-2022")</f>
        <v/>
      </c>
      <c r="AA27">
        <f>HYPERLINK("https://klasma.github.io/Logging_1060/klagomål/A 48467-2022 FSC-klagomål.docx", "A 48467-2022")</f>
        <v/>
      </c>
      <c r="AB27">
        <f>HYPERLINK("https://klasma.github.io/Logging_1060/klagomålsmail/A 48467-2022 FSC-klagomål mail.docx", "A 48467-2022")</f>
        <v/>
      </c>
      <c r="AC27">
        <f>HYPERLINK("https://klasma.github.io/Logging_1060/tillsyn/A 48467-2022 tillsynsbegäran.docx", "A 48467-2022")</f>
        <v/>
      </c>
      <c r="AD27">
        <f>HYPERLINK("https://klasma.github.io/Logging_1060/tillsynsmail/A 48467-2022 tillsynsbegäran mail.docx", "A 48467-2022")</f>
        <v/>
      </c>
    </row>
    <row r="28" ht="15" customHeight="1">
      <c r="A28" t="inlineStr">
        <is>
          <t>A 12792-2025</t>
        </is>
      </c>
      <c r="B28" t="inlineStr">
        <is>
          <t>avverkningsanmälan</t>
        </is>
      </c>
      <c r="C28" t="inlineStr">
        <is>
          <t>Föryngringsavverkning</t>
        </is>
      </c>
      <c r="D28" s="1" t="n">
        <v>45733</v>
      </c>
      <c r="E28" s="1" t="n">
        <v>46260</v>
      </c>
      <c r="F28" t="inlineStr">
        <is>
          <t>BLEKINGE LÄN</t>
        </is>
      </c>
      <c r="G28" t="inlineStr">
        <is>
          <t>OLOFSTRÖM</t>
        </is>
      </c>
      <c r="I28" t="n">
        <v>2.4</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12792-2025 artfynd.xlsx", "A 12792-2025")</f>
        <v/>
      </c>
      <c r="X28">
        <f>HYPERLINK("https://klasma.github.io/Logging_1060/kartor/A 12792-2025 karta.png", "A 12792-2025")</f>
        <v/>
      </c>
      <c r="Y28">
        <f>HYPERLINK("https://klasma.github.io/Logging_1060/kartor_geotiff/A 12792-2025 georefererad karta.tif", "A 12792-2025")</f>
        <v/>
      </c>
      <c r="AA28">
        <f>HYPERLINK("https://klasma.github.io/Logging_1060/klagomål/A 12792-2025 FSC-klagomål.docx", "A 12792-2025")</f>
        <v/>
      </c>
      <c r="AB28">
        <f>HYPERLINK("https://klasma.github.io/Logging_1060/klagomålsmail/A 12792-2025 FSC-klagomål mail.docx", "A 12792-2025")</f>
        <v/>
      </c>
      <c r="AC28">
        <f>HYPERLINK("https://klasma.github.io/Logging_1060/tillsyn/A 12792-2025 tillsynsbegäran.docx", "A 12792-2025")</f>
        <v/>
      </c>
      <c r="AD28">
        <f>HYPERLINK("https://klasma.github.io/Logging_1060/tillsynsmail/A 12792-2025 tillsynsbegäran mail.docx", "A 12792-2025")</f>
        <v/>
      </c>
    </row>
    <row r="29" ht="15" customHeight="1">
      <c r="A29" t="inlineStr">
        <is>
          <t>A 56583-2024</t>
        </is>
      </c>
      <c r="B29" t="inlineStr">
        <is>
          <t>avverkningsanmälan</t>
        </is>
      </c>
      <c r="C29" t="inlineStr">
        <is>
          <t>Föryngringsavverkning</t>
        </is>
      </c>
      <c r="D29" s="1" t="n">
        <v>45625</v>
      </c>
      <c r="E29" s="1" t="n">
        <v>46260</v>
      </c>
      <c r="F29" t="inlineStr">
        <is>
          <t>BLEKINGE LÄN</t>
        </is>
      </c>
      <c r="G29" t="inlineStr">
        <is>
          <t>OLOFSTRÖM</t>
        </is>
      </c>
      <c r="I29" t="n">
        <v>2.7</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56583-2024 artfynd.xlsx", "A 56583-2024")</f>
        <v/>
      </c>
      <c r="X29">
        <f>HYPERLINK("https://klasma.github.io/Logging_1060/kartor/A 56583-2024 karta.png", "A 56583-2024")</f>
        <v/>
      </c>
      <c r="Y29">
        <f>HYPERLINK("https://klasma.github.io/Logging_1060/kartor_geotiff/A 56583-2024 georefererad karta.tif", "A 56583-2024")</f>
        <v/>
      </c>
      <c r="AA29">
        <f>HYPERLINK("https://klasma.github.io/Logging_1060/klagomål/A 56583-2024 FSC-klagomål.docx", "A 56583-2024")</f>
        <v/>
      </c>
      <c r="AB29">
        <f>HYPERLINK("https://klasma.github.io/Logging_1060/klagomålsmail/A 56583-2024 FSC-klagomål mail.docx", "A 56583-2024")</f>
        <v/>
      </c>
      <c r="AC29">
        <f>HYPERLINK("https://klasma.github.io/Logging_1060/tillsyn/A 56583-2024 tillsynsbegäran.docx", "A 56583-2024")</f>
        <v/>
      </c>
      <c r="AD29">
        <f>HYPERLINK("https://klasma.github.io/Logging_1060/tillsynsmail/A 56583-2024 tillsynsbegäran mail.docx", "A 56583-2024")</f>
        <v/>
      </c>
    </row>
    <row r="30" ht="15" customHeight="1">
      <c r="A30" t="inlineStr">
        <is>
          <t>A 3711-2025</t>
        </is>
      </c>
      <c r="B30" t="inlineStr">
        <is>
          <t>avverkningsanmälan</t>
        </is>
      </c>
      <c r="C30" t="inlineStr">
        <is>
          <t>Föryngringsavverkning</t>
        </is>
      </c>
      <c r="D30" s="1" t="n">
        <v>45681</v>
      </c>
      <c r="E30" s="1" t="n">
        <v>46260</v>
      </c>
      <c r="F30" t="inlineStr">
        <is>
          <t>BLEKINGE LÄN</t>
        </is>
      </c>
      <c r="G30" t="inlineStr">
        <is>
          <t>OLOFSTRÖM</t>
        </is>
      </c>
      <c r="I30" t="n">
        <v>8.1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HYPERLINK("https://klasma.github.io/Logging_1060/artfynd/A 3711-2025 artfynd.xlsx", "A 3711-2025")</f>
        <v/>
      </c>
      <c r="X30">
        <f>HYPERLINK("https://klasma.github.io/Logging_1060/kartor/A 3711-2025 karta.png", "A 3711-2025")</f>
        <v/>
      </c>
      <c r="Y30">
        <f>HYPERLINK("https://klasma.github.io/Logging_1060/kartor_geotiff/A 3711-2025 georefererad karta.tif", "A 3711-2025")</f>
        <v/>
      </c>
      <c r="AA30">
        <f>HYPERLINK("https://klasma.github.io/Logging_1060/klagomål/A 3711-2025 FSC-klagomål.docx", "A 3711-2025")</f>
        <v/>
      </c>
      <c r="AB30">
        <f>HYPERLINK("https://klasma.github.io/Logging_1060/klagomålsmail/A 3711-2025 FSC-klagomål mail.docx", "A 3711-2025")</f>
        <v/>
      </c>
      <c r="AC30">
        <f>HYPERLINK("https://klasma.github.io/Logging_1060/tillsyn/A 3711-2025 tillsynsbegäran.docx", "A 3711-2025")</f>
        <v/>
      </c>
      <c r="AD30">
        <f>HYPERLINK("https://klasma.github.io/Logging_1060/tillsynsmail/A 3711-2025 tillsynsbegäran mail.docx", "A 3711-2025")</f>
        <v/>
      </c>
    </row>
    <row r="31" ht="15" customHeight="1">
      <c r="A31" t="inlineStr">
        <is>
          <t>S 469-2026</t>
        </is>
      </c>
      <c r="B31" t="inlineStr">
        <is>
          <t>samrådsanmälan</t>
        </is>
      </c>
      <c r="C31" t="inlineStr">
        <is>
          <t>Askåterföring</t>
        </is>
      </c>
      <c r="D31" s="1" t="n">
        <v>46073</v>
      </c>
      <c r="E31" s="1" t="n">
        <v>46260</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46260</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46260</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8320-2022</t>
        </is>
      </c>
      <c r="B34" t="inlineStr">
        <is>
          <t>avverkningsanmälan</t>
        </is>
      </c>
      <c r="C34" t="inlineStr">
        <is>
          <t>Föryngringsavverkning</t>
        </is>
      </c>
      <c r="D34" s="1" t="n">
        <v>44610</v>
      </c>
      <c r="E34" s="1" t="n">
        <v>46260</v>
      </c>
      <c r="F34" t="inlineStr">
        <is>
          <t>BLEKINGE LÄN</t>
        </is>
      </c>
      <c r="G34" t="inlineStr">
        <is>
          <t>OLOFSTRÖM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24428-2022</t>
        </is>
      </c>
      <c r="B35" t="inlineStr">
        <is>
          <t>avverkningsanmälan</t>
        </is>
      </c>
      <c r="C35" t="inlineStr">
        <is>
          <t>Föryngringsavverkning</t>
        </is>
      </c>
      <c r="D35" s="1" t="n">
        <v>44726</v>
      </c>
      <c r="E35" s="1" t="n">
        <v>46260</v>
      </c>
      <c r="F35" t="inlineStr">
        <is>
          <t>BLEKINGE LÄN</t>
        </is>
      </c>
      <c r="G35" t="inlineStr">
        <is>
          <t>OLOFSTRÖM</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62420-2021</t>
        </is>
      </c>
      <c r="B36" t="inlineStr">
        <is>
          <t>avverkningsanmälan</t>
        </is>
      </c>
      <c r="C36" t="inlineStr">
        <is>
          <t>Föryngringsavverkning</t>
        </is>
      </c>
      <c r="D36" s="1" t="n">
        <v>44503</v>
      </c>
      <c r="E36" s="1" t="n">
        <v>46260</v>
      </c>
      <c r="F36" t="inlineStr">
        <is>
          <t>BLEKINGE LÄN</t>
        </is>
      </c>
      <c r="G36" t="inlineStr">
        <is>
          <t>OLOFSTRÖM</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46260</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46260</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45589-2021</t>
        </is>
      </c>
      <c r="B39" t="inlineStr">
        <is>
          <t>avverkningsanmälan</t>
        </is>
      </c>
      <c r="C39" t="inlineStr">
        <is>
          <t>Föryngringsavverkning</t>
        </is>
      </c>
      <c r="D39" s="1" t="n">
        <v>44440</v>
      </c>
      <c r="E39" s="1" t="n">
        <v>46260</v>
      </c>
      <c r="F39" t="inlineStr">
        <is>
          <t>BLEKINGE LÄN</t>
        </is>
      </c>
      <c r="G39" t="inlineStr">
        <is>
          <t>OLOFSTRÖM</t>
        </is>
      </c>
      <c r="H39" t="inlineStr">
        <is>
          <t>Övriga Aktiebolag</t>
        </is>
      </c>
      <c r="I39" t="n">
        <v>4.2</v>
      </c>
      <c r="J39" t="n">
        <v>0</v>
      </c>
      <c r="K39" t="n">
        <v>0</v>
      </c>
      <c r="L39" t="n">
        <v>0</v>
      </c>
      <c r="M39" t="n">
        <v>0</v>
      </c>
      <c r="N39" t="n">
        <v>0</v>
      </c>
      <c r="O39" t="n">
        <v>0</v>
      </c>
      <c r="P39" t="n">
        <v>0</v>
      </c>
      <c r="Q39" t="n">
        <v>0</v>
      </c>
      <c r="R39" t="n">
        <v>0</v>
      </c>
      <c r="S39" t="n">
        <v>0</v>
      </c>
      <c r="T39" t="n">
        <v>0</v>
      </c>
      <c r="U39" t="n">
        <v>0</v>
      </c>
      <c r="V39" s="2" t="inlineStr"/>
    </row>
    <row r="40" ht="15" customHeight="1">
      <c r="A40" t="inlineStr">
        <is>
          <t>A 29732-2022</t>
        </is>
      </c>
      <c r="B40" t="inlineStr">
        <is>
          <t>avverkningsanmälan</t>
        </is>
      </c>
      <c r="C40" t="inlineStr">
        <is>
          <t>Föryngringsavverkning</t>
        </is>
      </c>
      <c r="D40" s="1" t="n">
        <v>44755</v>
      </c>
      <c r="E40" s="1" t="n">
        <v>46260</v>
      </c>
      <c r="F40" t="inlineStr">
        <is>
          <t>BLEKINGE LÄN</t>
        </is>
      </c>
      <c r="G40" t="inlineStr">
        <is>
          <t>OLOFSTRÖM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48626-2021</t>
        </is>
      </c>
      <c r="B41" t="inlineStr">
        <is>
          <t>avverkningsanmälan</t>
        </is>
      </c>
      <c r="C41" t="inlineStr">
        <is>
          <t>Föryngringsavverkning</t>
        </is>
      </c>
      <c r="D41" s="1" t="n">
        <v>44452</v>
      </c>
      <c r="E41" s="1" t="n">
        <v>46260</v>
      </c>
      <c r="F41" t="inlineStr">
        <is>
          <t>BLEKINGE LÄN</t>
        </is>
      </c>
      <c r="G41" t="inlineStr">
        <is>
          <t>OLOFSTRÖM</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46260</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46260</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1266-2022</t>
        </is>
      </c>
      <c r="B44" t="inlineStr">
        <is>
          <t>avverkningsanmälan</t>
        </is>
      </c>
      <c r="C44" t="inlineStr">
        <is>
          <t>Föryngringsavverkning</t>
        </is>
      </c>
      <c r="D44" s="1" t="n">
        <v>44572</v>
      </c>
      <c r="E44" s="1" t="n">
        <v>46260</v>
      </c>
      <c r="F44" t="inlineStr">
        <is>
          <t>BLEKINGE LÄN</t>
        </is>
      </c>
      <c r="G44" t="inlineStr">
        <is>
          <t>OLOFSTRÖM</t>
        </is>
      </c>
      <c r="H44" t="inlineStr">
        <is>
          <t>Kommuner</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46260</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45588-2021</t>
        </is>
      </c>
      <c r="B46" t="inlineStr">
        <is>
          <t>avverkningsanmälan</t>
        </is>
      </c>
      <c r="C46" t="inlineStr">
        <is>
          <t>Föryngringsavverkning</t>
        </is>
      </c>
      <c r="D46" s="1" t="n">
        <v>44440</v>
      </c>
      <c r="E46" s="1" t="n">
        <v>46260</v>
      </c>
      <c r="F46" t="inlineStr">
        <is>
          <t>BLEKINGE LÄN</t>
        </is>
      </c>
      <c r="G46" t="inlineStr">
        <is>
          <t>OLOFSTRÖM</t>
        </is>
      </c>
      <c r="H46" t="inlineStr">
        <is>
          <t>Övriga Aktiebolag</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8792-2022</t>
        </is>
      </c>
      <c r="B47" t="inlineStr">
        <is>
          <t>avverkningsanmälan</t>
        </is>
      </c>
      <c r="C47" t="inlineStr">
        <is>
          <t>Föryngringsavverkning</t>
        </is>
      </c>
      <c r="D47" s="1" t="n">
        <v>44613</v>
      </c>
      <c r="E47" s="1" t="n">
        <v>46260</v>
      </c>
      <c r="F47" t="inlineStr">
        <is>
          <t>BLEKINGE LÄN</t>
        </is>
      </c>
      <c r="G47" t="inlineStr">
        <is>
          <t>OLOFSTRÖM</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875-2022</t>
        </is>
      </c>
      <c r="B48" t="inlineStr">
        <is>
          <t>avverkningsanmälan</t>
        </is>
      </c>
      <c r="C48" t="inlineStr">
        <is>
          <t>Föryngringsavverkning</t>
        </is>
      </c>
      <c r="D48" s="1" t="n">
        <v>44567</v>
      </c>
      <c r="E48" s="1" t="n">
        <v>46260</v>
      </c>
      <c r="F48" t="inlineStr">
        <is>
          <t>BLEKINGE LÄN</t>
        </is>
      </c>
      <c r="G48" t="inlineStr">
        <is>
          <t>OLOFSTRÖM</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73436-2021</t>
        </is>
      </c>
      <c r="B49" t="inlineStr">
        <is>
          <t>avverkningsanmälan</t>
        </is>
      </c>
      <c r="C49" t="inlineStr">
        <is>
          <t>Föryngringsavverkning</t>
        </is>
      </c>
      <c r="D49" s="1" t="n">
        <v>44551</v>
      </c>
      <c r="E49" s="1" t="n">
        <v>46260</v>
      </c>
      <c r="F49" t="inlineStr">
        <is>
          <t>BLEKINGE LÄN</t>
        </is>
      </c>
      <c r="G49" t="inlineStr">
        <is>
          <t>OLOFSTRÖM</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50420-2022</t>
        </is>
      </c>
      <c r="B50" t="inlineStr">
        <is>
          <t>avverkningsanmälan</t>
        </is>
      </c>
      <c r="C50" t="inlineStr">
        <is>
          <t>Föryngringsavverkning</t>
        </is>
      </c>
      <c r="D50" s="1" t="n">
        <v>44866</v>
      </c>
      <c r="E50" s="1" t="n">
        <v>46260</v>
      </c>
      <c r="F50" t="inlineStr">
        <is>
          <t>BLEKINGE LÄN</t>
        </is>
      </c>
      <c r="G50" t="inlineStr">
        <is>
          <t>OLOFSTRÖM</t>
        </is>
      </c>
      <c r="I50" t="n">
        <v>4.2</v>
      </c>
      <c r="J50" t="n">
        <v>0</v>
      </c>
      <c r="K50" t="n">
        <v>0</v>
      </c>
      <c r="L50" t="n">
        <v>0</v>
      </c>
      <c r="M50" t="n">
        <v>0</v>
      </c>
      <c r="N50" t="n">
        <v>0</v>
      </c>
      <c r="O50" t="n">
        <v>0</v>
      </c>
      <c r="P50" t="n">
        <v>0</v>
      </c>
      <c r="Q50" t="n">
        <v>0</v>
      </c>
      <c r="R50" t="n">
        <v>0</v>
      </c>
      <c r="S50" t="n">
        <v>0</v>
      </c>
      <c r="T50" t="n">
        <v>0</v>
      </c>
      <c r="U50" t="n">
        <v>0</v>
      </c>
      <c r="V50" s="2" t="inlineStr"/>
    </row>
    <row r="51" ht="15" customHeight="1">
      <c r="A51" t="inlineStr">
        <is>
          <t>A 13742-2022</t>
        </is>
      </c>
      <c r="B51" t="inlineStr">
        <is>
          <t>avverkningsanmälan</t>
        </is>
      </c>
      <c r="C51" t="inlineStr">
        <is>
          <t>Föryngringsavverkning</t>
        </is>
      </c>
      <c r="D51" s="1" t="n">
        <v>44649</v>
      </c>
      <c r="E51" s="1" t="n">
        <v>46260</v>
      </c>
      <c r="F51" t="inlineStr">
        <is>
          <t>BLEKINGE LÄN</t>
        </is>
      </c>
      <c r="G51" t="inlineStr">
        <is>
          <t>OLOFSTRÖM</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13747-2022</t>
        </is>
      </c>
      <c r="B52" t="inlineStr">
        <is>
          <t>avverkningsanmälan</t>
        </is>
      </c>
      <c r="C52" t="inlineStr">
        <is>
          <t>Föryngringsavverkning</t>
        </is>
      </c>
      <c r="D52" s="1" t="n">
        <v>44649</v>
      </c>
      <c r="E52" s="1" t="n">
        <v>46260</v>
      </c>
      <c r="F52" t="inlineStr">
        <is>
          <t>BLEKINGE LÄN</t>
        </is>
      </c>
      <c r="G52" t="inlineStr">
        <is>
          <t>OLOFSTRÖM</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65691-2021</t>
        </is>
      </c>
      <c r="B53" t="inlineStr">
        <is>
          <t>avverkningsanmälan</t>
        </is>
      </c>
      <c r="C53" t="inlineStr">
        <is>
          <t>Föryngringsavverkning</t>
        </is>
      </c>
      <c r="D53" s="1" t="n">
        <v>44516</v>
      </c>
      <c r="E53" s="1" t="n">
        <v>46260</v>
      </c>
      <c r="F53" t="inlineStr">
        <is>
          <t>BLEKINGE LÄN</t>
        </is>
      </c>
      <c r="G53" t="inlineStr">
        <is>
          <t>OLOFSTRÖM</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8761-2022</t>
        </is>
      </c>
      <c r="B54" t="inlineStr">
        <is>
          <t>avverkningsanmälan</t>
        </is>
      </c>
      <c r="C54" t="inlineStr">
        <is>
          <t>Föryngringsavverkning</t>
        </is>
      </c>
      <c r="D54" s="1" t="n">
        <v>44613</v>
      </c>
      <c r="E54" s="1" t="n">
        <v>46260</v>
      </c>
      <c r="F54" t="inlineStr">
        <is>
          <t>BLEKINGE LÄN</t>
        </is>
      </c>
      <c r="G54" t="inlineStr">
        <is>
          <t>OLOFSTRÖM</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8772-2022</t>
        </is>
      </c>
      <c r="B55" t="inlineStr">
        <is>
          <t>avverkningsanmälan</t>
        </is>
      </c>
      <c r="C55" t="inlineStr">
        <is>
          <t>Föryngringsavverkning</t>
        </is>
      </c>
      <c r="D55" s="1" t="n">
        <v>44613</v>
      </c>
      <c r="E55" s="1" t="n">
        <v>46260</v>
      </c>
      <c r="F55" t="inlineStr">
        <is>
          <t>BLEKINGE LÄN</t>
        </is>
      </c>
      <c r="G55" t="inlineStr">
        <is>
          <t>OLOFSTRÖM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8799-2022</t>
        </is>
      </c>
      <c r="B56" t="inlineStr">
        <is>
          <t>avverkningsanmälan</t>
        </is>
      </c>
      <c r="C56" t="inlineStr">
        <is>
          <t>Föryngringsavverkning</t>
        </is>
      </c>
      <c r="D56" s="1" t="n">
        <v>44613</v>
      </c>
      <c r="E56" s="1" t="n">
        <v>46260</v>
      </c>
      <c r="F56" t="inlineStr">
        <is>
          <t>BLEKINGE LÄN</t>
        </is>
      </c>
      <c r="G56" t="inlineStr">
        <is>
          <t>OLOFSTRÖM</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20469-2022</t>
        </is>
      </c>
      <c r="B57" t="inlineStr">
        <is>
          <t>avverkningsanmälan</t>
        </is>
      </c>
      <c r="C57" t="inlineStr">
        <is>
          <t>Föryngringsavverkning</t>
        </is>
      </c>
      <c r="D57" s="1" t="n">
        <v>44699</v>
      </c>
      <c r="E57" s="1" t="n">
        <v>46260</v>
      </c>
      <c r="F57" t="inlineStr">
        <is>
          <t>BLEKINGE LÄN</t>
        </is>
      </c>
      <c r="G57" t="inlineStr">
        <is>
          <t>OLOFSTRÖM</t>
        </is>
      </c>
      <c r="I57" t="n">
        <v>4.5</v>
      </c>
      <c r="J57" t="n">
        <v>0</v>
      </c>
      <c r="K57" t="n">
        <v>0</v>
      </c>
      <c r="L57" t="n">
        <v>0</v>
      </c>
      <c r="M57" t="n">
        <v>0</v>
      </c>
      <c r="N57" t="n">
        <v>0</v>
      </c>
      <c r="O57" t="n">
        <v>0</v>
      </c>
      <c r="P57" t="n">
        <v>0</v>
      </c>
      <c r="Q57" t="n">
        <v>0</v>
      </c>
      <c r="R57" t="n">
        <v>0</v>
      </c>
      <c r="S57" t="n">
        <v>0</v>
      </c>
      <c r="T57" t="n">
        <v>0</v>
      </c>
      <c r="U57" t="n">
        <v>0</v>
      </c>
      <c r="V57" s="2" t="inlineStr"/>
    </row>
    <row r="58" ht="15" customHeight="1">
      <c r="A58" t="inlineStr">
        <is>
          <t>A 73441-2021</t>
        </is>
      </c>
      <c r="B58" t="inlineStr">
        <is>
          <t>avverkningsanmälan</t>
        </is>
      </c>
      <c r="C58" t="inlineStr">
        <is>
          <t>Föryngringsavverkning</t>
        </is>
      </c>
      <c r="D58" s="1" t="n">
        <v>44551</v>
      </c>
      <c r="E58" s="1" t="n">
        <v>46260</v>
      </c>
      <c r="F58" t="inlineStr">
        <is>
          <t>BLEKINGE LÄN</t>
        </is>
      </c>
      <c r="G58" t="inlineStr">
        <is>
          <t>OLOFSTRÖM</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73441-2021</t>
        </is>
      </c>
      <c r="B59" t="inlineStr">
        <is>
          <t>avverkningsanmälan</t>
        </is>
      </c>
      <c r="C59" t="inlineStr">
        <is>
          <t>Föryngringsavverkning</t>
        </is>
      </c>
      <c r="D59" s="1" t="n">
        <v>44551</v>
      </c>
      <c r="E59" s="1" t="n">
        <v>46260</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53764-2021</t>
        </is>
      </c>
      <c r="B60" t="inlineStr">
        <is>
          <t>avverkningsanmälan</t>
        </is>
      </c>
      <c r="C60" t="inlineStr">
        <is>
          <t>Föryngringsavverkning</t>
        </is>
      </c>
      <c r="D60" s="1" t="n">
        <v>44469</v>
      </c>
      <c r="E60" s="1" t="n">
        <v>46260</v>
      </c>
      <c r="F60" t="inlineStr">
        <is>
          <t>BLEKINGE LÄN</t>
        </is>
      </c>
      <c r="G60" t="inlineStr">
        <is>
          <t>OLOFSTRÖM</t>
        </is>
      </c>
      <c r="H60" t="inlineStr">
        <is>
          <t>Övriga Aktiebolag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50414-2022</t>
        </is>
      </c>
      <c r="B61" t="inlineStr">
        <is>
          <t>avverkningsanmälan</t>
        </is>
      </c>
      <c r="C61" t="inlineStr">
        <is>
          <t>Föryngringsavverkning</t>
        </is>
      </c>
      <c r="D61" s="1" t="n">
        <v>44866</v>
      </c>
      <c r="E61" s="1" t="n">
        <v>46260</v>
      </c>
      <c r="F61" t="inlineStr">
        <is>
          <t>BLEKINGE LÄN</t>
        </is>
      </c>
      <c r="G61" t="inlineStr">
        <is>
          <t>OLOFSTRÖM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73438-2021</t>
        </is>
      </c>
      <c r="B62" t="inlineStr">
        <is>
          <t>avverkningsanmälan</t>
        </is>
      </c>
      <c r="C62" t="inlineStr">
        <is>
          <t>Föryngringsavverkning</t>
        </is>
      </c>
      <c r="D62" s="1" t="n">
        <v>44551</v>
      </c>
      <c r="E62" s="1" t="n">
        <v>46260</v>
      </c>
      <c r="F62" t="inlineStr">
        <is>
          <t>BLEKINGE LÄN</t>
        </is>
      </c>
      <c r="G62" t="inlineStr">
        <is>
          <t>OLOFSTRÖM</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73443-2021</t>
        </is>
      </c>
      <c r="B63" t="inlineStr">
        <is>
          <t>avverkningsanmälan</t>
        </is>
      </c>
      <c r="C63" t="inlineStr">
        <is>
          <t>Föryngringsavverkning</t>
        </is>
      </c>
      <c r="D63" s="1" t="n">
        <v>44551</v>
      </c>
      <c r="E63" s="1" t="n">
        <v>46260</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73443-2021</t>
        </is>
      </c>
      <c r="B64" t="inlineStr">
        <is>
          <t>avverkningsanmälan</t>
        </is>
      </c>
      <c r="C64" t="inlineStr">
        <is>
          <t>Föryngringsavverkning</t>
        </is>
      </c>
      <c r="D64" s="1" t="n">
        <v>44551</v>
      </c>
      <c r="E64" s="1" t="n">
        <v>46260</v>
      </c>
      <c r="F64" t="inlineStr">
        <is>
          <t>BLEKINGE LÄN</t>
        </is>
      </c>
      <c r="G64" t="inlineStr">
        <is>
          <t>OLOFSTRÖM</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28338-2022</t>
        </is>
      </c>
      <c r="B65" t="inlineStr">
        <is>
          <t>avverkningsanmälan</t>
        </is>
      </c>
      <c r="C65" t="inlineStr">
        <is>
          <t>Föryngringsavverkning</t>
        </is>
      </c>
      <c r="D65" s="1" t="n">
        <v>44747</v>
      </c>
      <c r="E65" s="1" t="n">
        <v>46260</v>
      </c>
      <c r="F65" t="inlineStr">
        <is>
          <t>BLEKINGE LÄN</t>
        </is>
      </c>
      <c r="G65" t="inlineStr">
        <is>
          <t>OLOFSTRÖM</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45594-2021</t>
        </is>
      </c>
      <c r="B66" t="inlineStr">
        <is>
          <t>avverkningsanmälan</t>
        </is>
      </c>
      <c r="C66" t="inlineStr">
        <is>
          <t>Föryngringsavverkning</t>
        </is>
      </c>
      <c r="D66" s="1" t="n">
        <v>44440</v>
      </c>
      <c r="E66" s="1" t="n">
        <v>46260</v>
      </c>
      <c r="F66" t="inlineStr">
        <is>
          <t>BLEKINGE LÄN</t>
        </is>
      </c>
      <c r="G66" t="inlineStr">
        <is>
          <t>OLOFSTRÖM</t>
        </is>
      </c>
      <c r="H66" t="inlineStr">
        <is>
          <t>Övriga Aktiebolag</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60644-2021</t>
        </is>
      </c>
      <c r="B67" t="inlineStr">
        <is>
          <t>avverkningsanmälan</t>
        </is>
      </c>
      <c r="C67" t="inlineStr">
        <is>
          <t>Föryngringsavverkning</t>
        </is>
      </c>
      <c r="D67" s="1" t="n">
        <v>44496</v>
      </c>
      <c r="E67" s="1" t="n">
        <v>46260</v>
      </c>
      <c r="F67" t="inlineStr">
        <is>
          <t>BLEKINGE LÄN</t>
        </is>
      </c>
      <c r="G67" t="inlineStr">
        <is>
          <t>OLOFSTRÖM</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8321-2022</t>
        </is>
      </c>
      <c r="B68" t="inlineStr">
        <is>
          <t>avverkningsanmälan</t>
        </is>
      </c>
      <c r="C68" t="inlineStr">
        <is>
          <t>Föryngringsavverkning</t>
        </is>
      </c>
      <c r="D68" s="1" t="n">
        <v>44610</v>
      </c>
      <c r="E68" s="1" t="n">
        <v>46260</v>
      </c>
      <c r="F68" t="inlineStr">
        <is>
          <t>BLEKINGE LÄN</t>
        </is>
      </c>
      <c r="G68" t="inlineStr">
        <is>
          <t>OLOFSTRÖM</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18492-2022</t>
        </is>
      </c>
      <c r="B69" t="inlineStr">
        <is>
          <t>avverkningsanmälan</t>
        </is>
      </c>
      <c r="C69" t="inlineStr">
        <is>
          <t>Avverkning för att bevara och utveckla /försöksver</t>
        </is>
      </c>
      <c r="D69" s="1" t="n">
        <v>44686</v>
      </c>
      <c r="E69" s="1" t="n">
        <v>46260</v>
      </c>
      <c r="F69" t="inlineStr">
        <is>
          <t>BLEKINGE LÄN</t>
        </is>
      </c>
      <c r="G69" t="inlineStr">
        <is>
          <t>OLOFSTRÖM</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49706-2021</t>
        </is>
      </c>
      <c r="B70" t="inlineStr">
        <is>
          <t>avverkningsanmälan</t>
        </is>
      </c>
      <c r="C70" t="inlineStr">
        <is>
          <t>Föryngringsavverkning</t>
        </is>
      </c>
      <c r="D70" s="1" t="n">
        <v>44455</v>
      </c>
      <c r="E70" s="1" t="n">
        <v>46260</v>
      </c>
      <c r="F70" t="inlineStr">
        <is>
          <t>BLEKINGE LÄN</t>
        </is>
      </c>
      <c r="G70" t="inlineStr">
        <is>
          <t>OLOFSTRÖM</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4735-2022</t>
        </is>
      </c>
      <c r="B71" t="inlineStr">
        <is>
          <t>avverkningsanmälan</t>
        </is>
      </c>
      <c r="C71" t="inlineStr">
        <is>
          <t>Föryngringsavverkning</t>
        </is>
      </c>
      <c r="D71" s="1" t="n">
        <v>44592</v>
      </c>
      <c r="E71" s="1" t="n">
        <v>46260</v>
      </c>
      <c r="F71" t="inlineStr">
        <is>
          <t>BLEKINGE LÄN</t>
        </is>
      </c>
      <c r="G71" t="inlineStr">
        <is>
          <t>OLOFSTRÖM</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11729-2022</t>
        </is>
      </c>
      <c r="B72" t="inlineStr">
        <is>
          <t>avverkningsanmälan</t>
        </is>
      </c>
      <c r="C72" t="inlineStr">
        <is>
          <t>Föryngringsavverkning</t>
        </is>
      </c>
      <c r="D72" s="1" t="n">
        <v>44634</v>
      </c>
      <c r="E72" s="1" t="n">
        <v>46260</v>
      </c>
      <c r="F72" t="inlineStr">
        <is>
          <t>BLEKINGE LÄN</t>
        </is>
      </c>
      <c r="G72" t="inlineStr">
        <is>
          <t>OLOFSTRÖM</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39871-2023</t>
        </is>
      </c>
      <c r="B73" t="inlineStr">
        <is>
          <t>avverkningsanmälan</t>
        </is>
      </c>
      <c r="C73" t="inlineStr">
        <is>
          <t>Föryngringsavverkning</t>
        </is>
      </c>
      <c r="D73" s="1" t="n">
        <v>45166</v>
      </c>
      <c r="E73" s="1" t="n">
        <v>46260</v>
      </c>
      <c r="F73" t="inlineStr">
        <is>
          <t>BLEKINGE LÄN</t>
        </is>
      </c>
      <c r="G73" t="inlineStr">
        <is>
          <t>OLOFSTRÖM</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49894-2024</t>
        </is>
      </c>
      <c r="B74" t="inlineStr">
        <is>
          <t>avverkningsanmälan</t>
        </is>
      </c>
      <c r="C74" t="inlineStr">
        <is>
          <t>Föryngringsavverkning</t>
        </is>
      </c>
      <c r="D74" s="1" t="n">
        <v>45597</v>
      </c>
      <c r="E74" s="1" t="n">
        <v>46260</v>
      </c>
      <c r="F74" t="inlineStr">
        <is>
          <t>BLEKINGE LÄN</t>
        </is>
      </c>
      <c r="G74" t="inlineStr">
        <is>
          <t>OLOFSTRÖM</t>
        </is>
      </c>
      <c r="I74" t="n">
        <v>17.5</v>
      </c>
      <c r="J74" t="n">
        <v>0</v>
      </c>
      <c r="K74" t="n">
        <v>0</v>
      </c>
      <c r="L74" t="n">
        <v>0</v>
      </c>
      <c r="M74" t="n">
        <v>0</v>
      </c>
      <c r="N74" t="n">
        <v>0</v>
      </c>
      <c r="O74" t="n">
        <v>0</v>
      </c>
      <c r="P74" t="n">
        <v>0</v>
      </c>
      <c r="Q74" t="n">
        <v>0</v>
      </c>
      <c r="R74" t="n">
        <v>0</v>
      </c>
      <c r="S74" t="n">
        <v>0</v>
      </c>
      <c r="T74" t="n">
        <v>0</v>
      </c>
      <c r="U74" t="n">
        <v>0</v>
      </c>
      <c r="V74" s="2" t="inlineStr"/>
    </row>
    <row r="75" ht="15" customHeight="1">
      <c r="A75" t="inlineStr">
        <is>
          <t>A 41640-2024</t>
        </is>
      </c>
      <c r="B75" t="inlineStr">
        <is>
          <t>avverkningsanmälan</t>
        </is>
      </c>
      <c r="C75" t="inlineStr">
        <is>
          <t>Föryngringsavverkning</t>
        </is>
      </c>
      <c r="D75" s="1" t="n">
        <v>45560</v>
      </c>
      <c r="E75" s="1" t="n">
        <v>46260</v>
      </c>
      <c r="F75" t="inlineStr">
        <is>
          <t>BLEKINGE LÄN</t>
        </is>
      </c>
      <c r="G75" t="inlineStr">
        <is>
          <t>OLOFSTRÖM</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38439-2023</t>
        </is>
      </c>
      <c r="B76" t="inlineStr">
        <is>
          <t>avverkningsanmälan</t>
        </is>
      </c>
      <c r="C76" t="inlineStr">
        <is>
          <t>Föryngringsavverkning</t>
        </is>
      </c>
      <c r="D76" s="1" t="n">
        <v>45162</v>
      </c>
      <c r="E76" s="1" t="n">
        <v>46260</v>
      </c>
      <c r="F76" t="inlineStr">
        <is>
          <t>BLEKINGE LÄN</t>
        </is>
      </c>
      <c r="G76" t="inlineStr">
        <is>
          <t>OLOFSTRÖM</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40284-2023</t>
        </is>
      </c>
      <c r="B77" t="inlineStr">
        <is>
          <t>avverkningsanmälan</t>
        </is>
      </c>
      <c r="C77" t="inlineStr">
        <is>
          <t>Föryngringsavverkning</t>
        </is>
      </c>
      <c r="D77" s="1" t="n">
        <v>45169</v>
      </c>
      <c r="E77" s="1" t="n">
        <v>46260</v>
      </c>
      <c r="F77" t="inlineStr">
        <is>
          <t>BLEKINGE LÄN</t>
        </is>
      </c>
      <c r="G77" t="inlineStr">
        <is>
          <t>OLOFSTRÖM</t>
        </is>
      </c>
      <c r="I77" t="n">
        <v>5.2</v>
      </c>
      <c r="J77" t="n">
        <v>0</v>
      </c>
      <c r="K77" t="n">
        <v>0</v>
      </c>
      <c r="L77" t="n">
        <v>0</v>
      </c>
      <c r="M77" t="n">
        <v>0</v>
      </c>
      <c r="N77" t="n">
        <v>0</v>
      </c>
      <c r="O77" t="n">
        <v>0</v>
      </c>
      <c r="P77" t="n">
        <v>0</v>
      </c>
      <c r="Q77" t="n">
        <v>0</v>
      </c>
      <c r="R77" t="n">
        <v>0</v>
      </c>
      <c r="S77" t="n">
        <v>0</v>
      </c>
      <c r="T77" t="n">
        <v>0</v>
      </c>
      <c r="U77" t="n">
        <v>0</v>
      </c>
      <c r="V77" s="2" t="inlineStr"/>
    </row>
    <row r="78" ht="15" customHeight="1">
      <c r="A78" t="inlineStr">
        <is>
          <t>A 3203-2022</t>
        </is>
      </c>
      <c r="B78" t="inlineStr">
        <is>
          <t>avverkningsanmälan</t>
        </is>
      </c>
      <c r="C78" t="inlineStr">
        <is>
          <t>Föryngringsavverkning</t>
        </is>
      </c>
      <c r="D78" s="1" t="n">
        <v>44582</v>
      </c>
      <c r="E78" s="1" t="n">
        <v>46260</v>
      </c>
      <c r="F78" t="inlineStr">
        <is>
          <t>BLEKINGE LÄN</t>
        </is>
      </c>
      <c r="G78" t="inlineStr">
        <is>
          <t>OLOFSTRÖM</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62919-2023</t>
        </is>
      </c>
      <c r="B79" t="inlineStr">
        <is>
          <t>avverkningsanmälan</t>
        </is>
      </c>
      <c r="C79" t="inlineStr">
        <is>
          <t>Föryngringsavverkning</t>
        </is>
      </c>
      <c r="D79" s="1" t="n">
        <v>45271</v>
      </c>
      <c r="E79" s="1" t="n">
        <v>46260</v>
      </c>
      <c r="F79" t="inlineStr">
        <is>
          <t>BLEKINGE LÄN</t>
        </is>
      </c>
      <c r="G79" t="inlineStr">
        <is>
          <t>OLOFSTRÖM</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6676-2025</t>
        </is>
      </c>
      <c r="B80" t="inlineStr">
        <is>
          <t>avverkningsanmälan</t>
        </is>
      </c>
      <c r="C80" t="inlineStr">
        <is>
          <t>Föryngringsavverkning</t>
        </is>
      </c>
      <c r="D80" s="1" t="n">
        <v>45700</v>
      </c>
      <c r="E80" s="1" t="n">
        <v>46260</v>
      </c>
      <c r="F80" t="inlineStr">
        <is>
          <t>BLEKINGE LÄN</t>
        </is>
      </c>
      <c r="G80" t="inlineStr">
        <is>
          <t>OLOFSTRÖM</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32899-2024</t>
        </is>
      </c>
      <c r="B81" t="inlineStr">
        <is>
          <t>avverkningsanmälan</t>
        </is>
      </c>
      <c r="C81" t="inlineStr">
        <is>
          <t>Föryngringsavverkning</t>
        </is>
      </c>
      <c r="D81" s="1" t="n">
        <v>45516</v>
      </c>
      <c r="E81" s="1" t="n">
        <v>46260</v>
      </c>
      <c r="F81" t="inlineStr">
        <is>
          <t>BLEKINGE LÄN</t>
        </is>
      </c>
      <c r="G81" t="inlineStr">
        <is>
          <t>OLOFSTRÖM</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39108-2024</t>
        </is>
      </c>
      <c r="B82" t="inlineStr">
        <is>
          <t>avverkningsanmälan</t>
        </is>
      </c>
      <c r="C82" t="inlineStr">
        <is>
          <t>Föryngringsavverkning</t>
        </is>
      </c>
      <c r="D82" s="1" t="n">
        <v>45548</v>
      </c>
      <c r="E82" s="1" t="n">
        <v>46260</v>
      </c>
      <c r="F82" t="inlineStr">
        <is>
          <t>BLEKINGE LÄN</t>
        </is>
      </c>
      <c r="G82" t="inlineStr">
        <is>
          <t>OLOFSTRÖM</t>
        </is>
      </c>
      <c r="I82" t="n">
        <v>5.5</v>
      </c>
      <c r="J82" t="n">
        <v>0</v>
      </c>
      <c r="K82" t="n">
        <v>0</v>
      </c>
      <c r="L82" t="n">
        <v>0</v>
      </c>
      <c r="M82" t="n">
        <v>0</v>
      </c>
      <c r="N82" t="n">
        <v>0</v>
      </c>
      <c r="O82" t="n">
        <v>0</v>
      </c>
      <c r="P82" t="n">
        <v>0</v>
      </c>
      <c r="Q82" t="n">
        <v>0</v>
      </c>
      <c r="R82" t="n">
        <v>0</v>
      </c>
      <c r="S82" t="n">
        <v>0</v>
      </c>
      <c r="T82" t="n">
        <v>0</v>
      </c>
      <c r="U82" t="n">
        <v>0</v>
      </c>
      <c r="V82" s="2" t="inlineStr"/>
    </row>
    <row r="83" ht="15" customHeight="1">
      <c r="A83" t="inlineStr">
        <is>
          <t>A 13195-2023</t>
        </is>
      </c>
      <c r="B83" t="inlineStr">
        <is>
          <t>avverkningsanmälan</t>
        </is>
      </c>
      <c r="C83" t="inlineStr">
        <is>
          <t>Föryngringsavverkning</t>
        </is>
      </c>
      <c r="D83" s="1" t="n">
        <v>45002</v>
      </c>
      <c r="E83" s="1" t="n">
        <v>46260</v>
      </c>
      <c r="F83" t="inlineStr">
        <is>
          <t>BLEKINGE LÄN</t>
        </is>
      </c>
      <c r="G83" t="inlineStr">
        <is>
          <t>OLOFSTRÖM</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42300-2023</t>
        </is>
      </c>
      <c r="B84" t="inlineStr">
        <is>
          <t>avverkningsanmälan</t>
        </is>
      </c>
      <c r="C84" t="inlineStr">
        <is>
          <t>Föryngringsavverkning</t>
        </is>
      </c>
      <c r="D84" s="1" t="n">
        <v>45180</v>
      </c>
      <c r="E84" s="1" t="n">
        <v>46260</v>
      </c>
      <c r="F84" t="inlineStr">
        <is>
          <t>BLEKINGE LÄN</t>
        </is>
      </c>
      <c r="G84" t="inlineStr">
        <is>
          <t>OLOFSTRÖM</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2885-2022</t>
        </is>
      </c>
      <c r="B85" t="inlineStr">
        <is>
          <t>avverkningsanmälan</t>
        </is>
      </c>
      <c r="C85" t="inlineStr">
        <is>
          <t>Föryngringsavverkning</t>
        </is>
      </c>
      <c r="D85" s="1" t="n">
        <v>44581</v>
      </c>
      <c r="E85" s="1" t="n">
        <v>46260</v>
      </c>
      <c r="F85" t="inlineStr">
        <is>
          <t>BLEKINGE LÄN</t>
        </is>
      </c>
      <c r="G85" t="inlineStr">
        <is>
          <t>OLOFSTRÖM</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54513-2021</t>
        </is>
      </c>
      <c r="B86" t="inlineStr">
        <is>
          <t>avverkningsanmälan</t>
        </is>
      </c>
      <c r="C86" t="inlineStr">
        <is>
          <t>Föryngringsavverkning</t>
        </is>
      </c>
      <c r="D86" s="1" t="n">
        <v>44473</v>
      </c>
      <c r="E86" s="1" t="n">
        <v>46260</v>
      </c>
      <c r="F86" t="inlineStr">
        <is>
          <t>BLEKINGE LÄN</t>
        </is>
      </c>
      <c r="G86" t="inlineStr">
        <is>
          <t>OLOFSTRÖM</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57675-2023</t>
        </is>
      </c>
      <c r="B87" t="inlineStr">
        <is>
          <t>avverkningsanmälan</t>
        </is>
      </c>
      <c r="C87" t="inlineStr">
        <is>
          <t>Föryngringsavverkning</t>
        </is>
      </c>
      <c r="D87" s="1" t="n">
        <v>45246</v>
      </c>
      <c r="E87" s="1" t="n">
        <v>46260</v>
      </c>
      <c r="F87" t="inlineStr">
        <is>
          <t>BLEKINGE LÄN</t>
        </is>
      </c>
      <c r="G87" t="inlineStr">
        <is>
          <t>OLOFSTRÖM</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69510-2021</t>
        </is>
      </c>
      <c r="B88" t="inlineStr">
        <is>
          <t>avverkningsanmälan</t>
        </is>
      </c>
      <c r="C88" t="inlineStr">
        <is>
          <t>Föryngringsavverkning</t>
        </is>
      </c>
      <c r="D88" s="1" t="n">
        <v>44531</v>
      </c>
      <c r="E88" s="1" t="n">
        <v>46260</v>
      </c>
      <c r="F88" t="inlineStr">
        <is>
          <t>BLEKINGE LÄN</t>
        </is>
      </c>
      <c r="G88" t="inlineStr">
        <is>
          <t>OLOFSTRÖM</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39775-2024</t>
        </is>
      </c>
      <c r="B89" t="inlineStr">
        <is>
          <t>avverkningsanmälan</t>
        </is>
      </c>
      <c r="C89" t="inlineStr">
        <is>
          <t>Avverkning för annat ändamål</t>
        </is>
      </c>
      <c r="D89" s="1" t="n">
        <v>45552</v>
      </c>
      <c r="E89" s="1" t="n">
        <v>46260</v>
      </c>
      <c r="F89" t="inlineStr">
        <is>
          <t>BLEKINGE LÄN</t>
        </is>
      </c>
      <c r="G89" t="inlineStr">
        <is>
          <t>OLOFSTRÖM</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61123-2024</t>
        </is>
      </c>
      <c r="B90" t="inlineStr">
        <is>
          <t>avverkningsanmälan</t>
        </is>
      </c>
      <c r="C90" t="inlineStr">
        <is>
          <t>Föryngringsavverkning</t>
        </is>
      </c>
      <c r="D90" s="1" t="n">
        <v>45645</v>
      </c>
      <c r="E90" s="1" t="n">
        <v>46260</v>
      </c>
      <c r="F90" t="inlineStr">
        <is>
          <t>BLEKINGE LÄN</t>
        </is>
      </c>
      <c r="G90" t="inlineStr">
        <is>
          <t>OLOFSTRÖM</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15348-2025</t>
        </is>
      </c>
      <c r="B91" t="inlineStr">
        <is>
          <t>avverkningsanmälan</t>
        </is>
      </c>
      <c r="C91" t="inlineStr">
        <is>
          <t>Föryngringsavverkning</t>
        </is>
      </c>
      <c r="D91" s="1" t="n">
        <v>45747</v>
      </c>
      <c r="E91" s="1" t="n">
        <v>46260</v>
      </c>
      <c r="F91" t="inlineStr">
        <is>
          <t>BLEKINGE LÄN</t>
        </is>
      </c>
      <c r="G91" t="inlineStr">
        <is>
          <t>OLOFSTRÖM</t>
        </is>
      </c>
      <c r="I91" t="n">
        <v>7.9</v>
      </c>
      <c r="J91" t="n">
        <v>0</v>
      </c>
      <c r="K91" t="n">
        <v>0</v>
      </c>
      <c r="L91" t="n">
        <v>0</v>
      </c>
      <c r="M91" t="n">
        <v>0</v>
      </c>
      <c r="N91" t="n">
        <v>0</v>
      </c>
      <c r="O91" t="n">
        <v>0</v>
      </c>
      <c r="P91" t="n">
        <v>0</v>
      </c>
      <c r="Q91" t="n">
        <v>0</v>
      </c>
      <c r="R91" t="n">
        <v>0</v>
      </c>
      <c r="S91" t="n">
        <v>0</v>
      </c>
      <c r="T91" t="n">
        <v>0</v>
      </c>
      <c r="U91" t="n">
        <v>0</v>
      </c>
      <c r="V91" s="2" t="inlineStr"/>
    </row>
    <row r="92" ht="15" customHeight="1">
      <c r="A92" t="inlineStr">
        <is>
          <t>A 15354-2025</t>
        </is>
      </c>
      <c r="B92" t="inlineStr">
        <is>
          <t>avverkningsanmälan</t>
        </is>
      </c>
      <c r="C92" t="inlineStr">
        <is>
          <t>Föryngringsavverkning</t>
        </is>
      </c>
      <c r="D92" s="1" t="n">
        <v>45747</v>
      </c>
      <c r="E92" s="1" t="n">
        <v>46260</v>
      </c>
      <c r="F92" t="inlineStr">
        <is>
          <t>BLEKINGE LÄN</t>
        </is>
      </c>
      <c r="G92" t="inlineStr">
        <is>
          <t>OLOFSTRÖM</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5551-2025</t>
        </is>
      </c>
      <c r="B93" t="inlineStr">
        <is>
          <t>avverkningsanmälan</t>
        </is>
      </c>
      <c r="C93" t="inlineStr">
        <is>
          <t>Föryngringsavverkning</t>
        </is>
      </c>
      <c r="D93" s="1" t="n">
        <v>45693</v>
      </c>
      <c r="E93" s="1" t="n">
        <v>46260</v>
      </c>
      <c r="F93" t="inlineStr">
        <is>
          <t>BLEKINGE LÄN</t>
        </is>
      </c>
      <c r="G93" t="inlineStr">
        <is>
          <t>OLOFSTRÖM</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49298-2022</t>
        </is>
      </c>
      <c r="B94" t="inlineStr">
        <is>
          <t>avverkningsanmälan</t>
        </is>
      </c>
      <c r="C94" t="inlineStr">
        <is>
          <t>Föryngringsavverkning</t>
        </is>
      </c>
      <c r="D94" s="1" t="n">
        <v>44858</v>
      </c>
      <c r="E94" s="1" t="n">
        <v>46260</v>
      </c>
      <c r="F94" t="inlineStr">
        <is>
          <t>BLEKINGE LÄN</t>
        </is>
      </c>
      <c r="G94" t="inlineStr">
        <is>
          <t>OLOFSTRÖM</t>
        </is>
      </c>
      <c r="I94" t="n">
        <v>9.6</v>
      </c>
      <c r="J94" t="n">
        <v>0</v>
      </c>
      <c r="K94" t="n">
        <v>0</v>
      </c>
      <c r="L94" t="n">
        <v>0</v>
      </c>
      <c r="M94" t="n">
        <v>0</v>
      </c>
      <c r="N94" t="n">
        <v>0</v>
      </c>
      <c r="O94" t="n">
        <v>0</v>
      </c>
      <c r="P94" t="n">
        <v>0</v>
      </c>
      <c r="Q94" t="n">
        <v>0</v>
      </c>
      <c r="R94" t="n">
        <v>0</v>
      </c>
      <c r="S94" t="n">
        <v>0</v>
      </c>
      <c r="T94" t="n">
        <v>0</v>
      </c>
      <c r="U94" t="n">
        <v>0</v>
      </c>
      <c r="V94" s="2" t="inlineStr"/>
    </row>
    <row r="95" ht="15" customHeight="1">
      <c r="A95" t="inlineStr">
        <is>
          <t>A 52208-2024</t>
        </is>
      </c>
      <c r="B95" t="inlineStr">
        <is>
          <t>avverkningsanmälan</t>
        </is>
      </c>
      <c r="C95" t="inlineStr">
        <is>
          <t>Föryngringsavverkning</t>
        </is>
      </c>
      <c r="D95" s="1" t="n">
        <v>45608</v>
      </c>
      <c r="E95" s="1" t="n">
        <v>46260</v>
      </c>
      <c r="F95" t="inlineStr">
        <is>
          <t>BLEKINGE LÄN</t>
        </is>
      </c>
      <c r="G95" t="inlineStr">
        <is>
          <t>OLOFSTRÖM</t>
        </is>
      </c>
      <c r="I95" t="n">
        <v>7.4</v>
      </c>
      <c r="J95" t="n">
        <v>0</v>
      </c>
      <c r="K95" t="n">
        <v>0</v>
      </c>
      <c r="L95" t="n">
        <v>0</v>
      </c>
      <c r="M95" t="n">
        <v>0</v>
      </c>
      <c r="N95" t="n">
        <v>0</v>
      </c>
      <c r="O95" t="n">
        <v>0</v>
      </c>
      <c r="P95" t="n">
        <v>0</v>
      </c>
      <c r="Q95" t="n">
        <v>0</v>
      </c>
      <c r="R95" t="n">
        <v>0</v>
      </c>
      <c r="S95" t="n">
        <v>0</v>
      </c>
      <c r="T95" t="n">
        <v>0</v>
      </c>
      <c r="U95" t="n">
        <v>0</v>
      </c>
      <c r="V95" s="2" t="inlineStr"/>
    </row>
    <row r="96" ht="15" customHeight="1">
      <c r="A96" t="inlineStr">
        <is>
          <t>A 22717-2023</t>
        </is>
      </c>
      <c r="B96" t="inlineStr">
        <is>
          <t>avverkningsanmälan</t>
        </is>
      </c>
      <c r="C96" t="inlineStr">
        <is>
          <t>Föryngringsavverkning</t>
        </is>
      </c>
      <c r="D96" s="1" t="n">
        <v>45071</v>
      </c>
      <c r="E96" s="1" t="n">
        <v>46260</v>
      </c>
      <c r="F96" t="inlineStr">
        <is>
          <t>BLEKINGE LÄN</t>
        </is>
      </c>
      <c r="G96" t="inlineStr">
        <is>
          <t>OLOFSTRÖM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39880-2023</t>
        </is>
      </c>
      <c r="B97" t="inlineStr">
        <is>
          <t>avverkningsanmälan</t>
        </is>
      </c>
      <c r="C97" t="inlineStr">
        <is>
          <t>Föryngringsavverkning</t>
        </is>
      </c>
      <c r="D97" s="1" t="n">
        <v>45168</v>
      </c>
      <c r="E97" s="1" t="n">
        <v>46260</v>
      </c>
      <c r="F97" t="inlineStr">
        <is>
          <t>BLEKINGE LÄN</t>
        </is>
      </c>
      <c r="G97" t="inlineStr">
        <is>
          <t>OLOFSTRÖM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43287-2023</t>
        </is>
      </c>
      <c r="B98" t="inlineStr">
        <is>
          <t>avverkningsanmälan</t>
        </is>
      </c>
      <c r="C98" t="inlineStr">
        <is>
          <t>Föryngringsavverkning</t>
        </is>
      </c>
      <c r="D98" s="1" t="n">
        <v>45183</v>
      </c>
      <c r="E98" s="1" t="n">
        <v>46260</v>
      </c>
      <c r="F98" t="inlineStr">
        <is>
          <t>BLEKINGE LÄN</t>
        </is>
      </c>
      <c r="G98" t="inlineStr">
        <is>
          <t>OLOFSTRÖM</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7465-2023</t>
        </is>
      </c>
      <c r="B99" t="inlineStr">
        <is>
          <t>avverkningsanmälan</t>
        </is>
      </c>
      <c r="C99" t="inlineStr">
        <is>
          <t>Föryngringsavverkning</t>
        </is>
      </c>
      <c r="D99" s="1" t="n">
        <v>44971</v>
      </c>
      <c r="E99" s="1" t="n">
        <v>46260</v>
      </c>
      <c r="F99" t="inlineStr">
        <is>
          <t>BLEKINGE LÄN</t>
        </is>
      </c>
      <c r="G99" t="inlineStr">
        <is>
          <t>OLOFSTRÖM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38973-2024</t>
        </is>
      </c>
      <c r="B100" t="inlineStr">
        <is>
          <t>avverkningsanmälan</t>
        </is>
      </c>
      <c r="C100" t="inlineStr">
        <is>
          <t>Föryngringsavverkning</t>
        </is>
      </c>
      <c r="D100" s="1" t="n">
        <v>45548</v>
      </c>
      <c r="E100" s="1" t="n">
        <v>46260</v>
      </c>
      <c r="F100" t="inlineStr">
        <is>
          <t>BLEKINGE LÄN</t>
        </is>
      </c>
      <c r="G100" t="inlineStr">
        <is>
          <t>OLOFSTRÖM</t>
        </is>
      </c>
      <c r="I100" t="n">
        <v>11.3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42004-2023</t>
        </is>
      </c>
      <c r="B101" t="inlineStr">
        <is>
          <t>avverkningsanmälan</t>
        </is>
      </c>
      <c r="C101" t="inlineStr">
        <is>
          <t>Föryngringsavverkning</t>
        </is>
      </c>
      <c r="D101" s="1" t="n">
        <v>45177</v>
      </c>
      <c r="E101" s="1" t="n">
        <v>46260</v>
      </c>
      <c r="F101" t="inlineStr">
        <is>
          <t>BLEKINGE LÄN</t>
        </is>
      </c>
      <c r="G101" t="inlineStr">
        <is>
          <t>OLOFSTRÖM</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3542-2026</t>
        </is>
      </c>
      <c r="B102" t="inlineStr">
        <is>
          <t>avverkningsanmälan</t>
        </is>
      </c>
      <c r="C102" t="inlineStr">
        <is>
          <t>Föryngringsavverkning</t>
        </is>
      </c>
      <c r="D102" s="1" t="n">
        <v>46042</v>
      </c>
      <c r="E102" s="1" t="n">
        <v>46260</v>
      </c>
      <c r="F102" t="inlineStr">
        <is>
          <t>BLEKINGE LÄN</t>
        </is>
      </c>
      <c r="G102" t="inlineStr">
        <is>
          <t>OLOFSTRÖM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4329-2026</t>
        </is>
      </c>
      <c r="B103" t="inlineStr">
        <is>
          <t>avverkningsanmälan</t>
        </is>
      </c>
      <c r="C103" t="inlineStr">
        <is>
          <t>Föryngringsavverkning</t>
        </is>
      </c>
      <c r="D103" s="1" t="n">
        <v>46045</v>
      </c>
      <c r="E103" s="1" t="n">
        <v>46260</v>
      </c>
      <c r="F103" t="inlineStr">
        <is>
          <t>BLEKINGE LÄN</t>
        </is>
      </c>
      <c r="G103" t="inlineStr">
        <is>
          <t>OLOFSTRÖM</t>
        </is>
      </c>
      <c r="H103" t="inlineStr">
        <is>
          <t>Kommuner</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46584-2024</t>
        </is>
      </c>
      <c r="B104" t="inlineStr">
        <is>
          <t>avverkningsanmälan</t>
        </is>
      </c>
      <c r="C104" t="inlineStr">
        <is>
          <t>Föryngringsavverkning</t>
        </is>
      </c>
      <c r="D104" s="1" t="n">
        <v>45582</v>
      </c>
      <c r="E104" s="1" t="n">
        <v>46260</v>
      </c>
      <c r="F104" t="inlineStr">
        <is>
          <t>BLEKINGE LÄN</t>
        </is>
      </c>
      <c r="G104" t="inlineStr">
        <is>
          <t>OLOFSTRÖM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63450-2023</t>
        </is>
      </c>
      <c r="B105" t="inlineStr">
        <is>
          <t>avverkningsanmälan</t>
        </is>
      </c>
      <c r="C105" t="inlineStr">
        <is>
          <t>Föryngringsavverkning</t>
        </is>
      </c>
      <c r="D105" s="1" t="n">
        <v>45274</v>
      </c>
      <c r="E105" s="1" t="n">
        <v>46260</v>
      </c>
      <c r="F105" t="inlineStr">
        <is>
          <t>BLEKINGE LÄN</t>
        </is>
      </c>
      <c r="G105" t="inlineStr">
        <is>
          <t>OLOFSTRÖM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5465-2026</t>
        </is>
      </c>
      <c r="B106" t="inlineStr">
        <is>
          <t>avverkningsanmälan</t>
        </is>
      </c>
      <c r="C106" t="inlineStr">
        <is>
          <t>Föryngringsavverkning</t>
        </is>
      </c>
      <c r="D106" s="1" t="n">
        <v>46050</v>
      </c>
      <c r="E106" s="1" t="n">
        <v>46260</v>
      </c>
      <c r="F106" t="inlineStr">
        <is>
          <t>BLEKINGE LÄN</t>
        </is>
      </c>
      <c r="G106" t="inlineStr">
        <is>
          <t>OLOFSTRÖM</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38005-2024</t>
        </is>
      </c>
      <c r="B107" t="inlineStr">
        <is>
          <t>avverkningsanmälan</t>
        </is>
      </c>
      <c r="C107" t="inlineStr">
        <is>
          <t>Föryngringsavverkning</t>
        </is>
      </c>
      <c r="D107" s="1" t="n">
        <v>45544</v>
      </c>
      <c r="E107" s="1" t="n">
        <v>46260</v>
      </c>
      <c r="F107" t="inlineStr">
        <is>
          <t>BLEKINGE LÄN</t>
        </is>
      </c>
      <c r="G107" t="inlineStr">
        <is>
          <t>OLOFSTRÖM</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39944-2025</t>
        </is>
      </c>
      <c r="B108" t="inlineStr">
        <is>
          <t>avverkningsanmälan</t>
        </is>
      </c>
      <c r="C108" t="inlineStr">
        <is>
          <t>Föryngringsavverkning</t>
        </is>
      </c>
      <c r="D108" s="1" t="n">
        <v>45891</v>
      </c>
      <c r="E108" s="1" t="n">
        <v>46260</v>
      </c>
      <c r="F108" t="inlineStr">
        <is>
          <t>BLEKINGE LÄN</t>
        </is>
      </c>
      <c r="G108" t="inlineStr">
        <is>
          <t>OLOFSTRÖM</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45011-2024</t>
        </is>
      </c>
      <c r="B109" t="inlineStr">
        <is>
          <t>avverkningsanmälan</t>
        </is>
      </c>
      <c r="C109" t="inlineStr">
        <is>
          <t>Föryngringsavverkning</t>
        </is>
      </c>
      <c r="D109" s="1" t="n">
        <v>45575</v>
      </c>
      <c r="E109" s="1" t="n">
        <v>46260</v>
      </c>
      <c r="F109" t="inlineStr">
        <is>
          <t>BLEKINGE LÄN</t>
        </is>
      </c>
      <c r="G109" t="inlineStr">
        <is>
          <t>OLOFSTRÖM</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40518-2025</t>
        </is>
      </c>
      <c r="B110" t="inlineStr">
        <is>
          <t>avverkningsanmälan</t>
        </is>
      </c>
      <c r="C110" t="inlineStr">
        <is>
          <t>Föryngringsavverkning</t>
        </is>
      </c>
      <c r="D110" s="1" t="n">
        <v>45896</v>
      </c>
      <c r="E110" s="1" t="n">
        <v>46260</v>
      </c>
      <c r="F110" t="inlineStr">
        <is>
          <t>BLEKINGE LÄN</t>
        </is>
      </c>
      <c r="G110" t="inlineStr">
        <is>
          <t>OLOFSTRÖM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40523-2025</t>
        </is>
      </c>
      <c r="B111" t="inlineStr">
        <is>
          <t>avverkningsanmälan</t>
        </is>
      </c>
      <c r="C111" t="inlineStr">
        <is>
          <t>Föryngringsavverkning</t>
        </is>
      </c>
      <c r="D111" s="1" t="n">
        <v>45896</v>
      </c>
      <c r="E111" s="1" t="n">
        <v>46260</v>
      </c>
      <c r="F111" t="inlineStr">
        <is>
          <t>BLEKINGE LÄN</t>
        </is>
      </c>
      <c r="G111" t="inlineStr">
        <is>
          <t>OLOFSTRÖM</t>
        </is>
      </c>
      <c r="I111" t="n">
        <v>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37558-2022</t>
        </is>
      </c>
      <c r="B112" t="inlineStr">
        <is>
          <t>avverkningsanmälan</t>
        </is>
      </c>
      <c r="C112" t="inlineStr">
        <is>
          <t>Föryngringsavverkning</t>
        </is>
      </c>
      <c r="D112" s="1" t="n">
        <v>44809</v>
      </c>
      <c r="E112" s="1" t="n">
        <v>46260</v>
      </c>
      <c r="F112" t="inlineStr">
        <is>
          <t>BLEKINGE LÄN</t>
        </is>
      </c>
      <c r="G112" t="inlineStr">
        <is>
          <t>OLOFSTRÖM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40680-2025</t>
        </is>
      </c>
      <c r="B113" t="inlineStr">
        <is>
          <t>avverkningsanmälan</t>
        </is>
      </c>
      <c r="C113" t="inlineStr">
        <is>
          <t>Föryngringsavverkning</t>
        </is>
      </c>
      <c r="D113" s="1" t="n">
        <v>45896</v>
      </c>
      <c r="E113" s="1" t="n">
        <v>46260</v>
      </c>
      <c r="F113" t="inlineStr">
        <is>
          <t>BLEKINGE LÄN</t>
        </is>
      </c>
      <c r="G113" t="inlineStr">
        <is>
          <t>OLOFSTRÖM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41135-2025</t>
        </is>
      </c>
      <c r="B114" t="inlineStr">
        <is>
          <t>avverkningsanmälan</t>
        </is>
      </c>
      <c r="C114" t="inlineStr">
        <is>
          <t>Föryngringsavverkning</t>
        </is>
      </c>
      <c r="D114" s="1" t="n">
        <v>45898</v>
      </c>
      <c r="E114" s="1" t="n">
        <v>46260</v>
      </c>
      <c r="F114" t="inlineStr">
        <is>
          <t>BLEKINGE LÄN</t>
        </is>
      </c>
      <c r="G114" t="inlineStr">
        <is>
          <t>OLOFSTRÖM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6748-2026</t>
        </is>
      </c>
      <c r="B115" t="inlineStr">
        <is>
          <t>avverkningsanmälan</t>
        </is>
      </c>
      <c r="C115" t="inlineStr">
        <is>
          <t>Föryngringsavverkning</t>
        </is>
      </c>
      <c r="D115" s="1" t="n">
        <v>46056</v>
      </c>
      <c r="E115" s="1" t="n">
        <v>46260</v>
      </c>
      <c r="F115" t="inlineStr">
        <is>
          <t>BLEKINGE LÄN</t>
        </is>
      </c>
      <c r="G115" t="inlineStr">
        <is>
          <t>OLOFSTRÖM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41258-2025</t>
        </is>
      </c>
      <c r="B116" t="inlineStr">
        <is>
          <t>avverkningsanmälan</t>
        </is>
      </c>
      <c r="C116" t="inlineStr">
        <is>
          <t>Föryngringsavverkning</t>
        </is>
      </c>
      <c r="D116" s="1" t="n">
        <v>45898</v>
      </c>
      <c r="E116" s="1" t="n">
        <v>46260</v>
      </c>
      <c r="F116" t="inlineStr">
        <is>
          <t>BLEKINGE LÄN</t>
        </is>
      </c>
      <c r="G116" t="inlineStr">
        <is>
          <t>OLOFSTRÖM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52223-2022</t>
        </is>
      </c>
      <c r="B117" t="inlineStr">
        <is>
          <t>avverkningsanmälan</t>
        </is>
      </c>
      <c r="C117" t="inlineStr">
        <is>
          <t>Föryngringsavverkning</t>
        </is>
      </c>
      <c r="D117" s="1" t="n">
        <v>44873</v>
      </c>
      <c r="E117" s="1" t="n">
        <v>46260</v>
      </c>
      <c r="F117" t="inlineStr">
        <is>
          <t>BLEKINGE LÄN</t>
        </is>
      </c>
      <c r="G117" t="inlineStr">
        <is>
          <t>OLOFSTRÖM</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8110-2023</t>
        </is>
      </c>
      <c r="B118" t="inlineStr">
        <is>
          <t>avverkningsanmälan</t>
        </is>
      </c>
      <c r="C118" t="inlineStr">
        <is>
          <t>Föryngringsavverkning</t>
        </is>
      </c>
      <c r="D118" s="1" t="n">
        <v>44970</v>
      </c>
      <c r="E118" s="1" t="n">
        <v>46260</v>
      </c>
      <c r="F118" t="inlineStr">
        <is>
          <t>BLEKINGE LÄN</t>
        </is>
      </c>
      <c r="G118" t="inlineStr">
        <is>
          <t>OLOFSTRÖM</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41748-2025</t>
        </is>
      </c>
      <c r="B119" t="inlineStr">
        <is>
          <t>avverkningsanmälan</t>
        </is>
      </c>
      <c r="C119" t="inlineStr">
        <is>
          <t>Föryngringsavverkning</t>
        </is>
      </c>
      <c r="D119" s="1" t="n">
        <v>45902</v>
      </c>
      <c r="E119" s="1" t="n">
        <v>46260</v>
      </c>
      <c r="F119" t="inlineStr">
        <is>
          <t>BLEKINGE LÄN</t>
        </is>
      </c>
      <c r="G119" t="inlineStr">
        <is>
          <t>OLOFSTRÖM</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41752-2025</t>
        </is>
      </c>
      <c r="B120" t="inlineStr">
        <is>
          <t>avverkningsanmälan</t>
        </is>
      </c>
      <c r="C120" t="inlineStr">
        <is>
          <t>Föryngringsavverkning</t>
        </is>
      </c>
      <c r="D120" s="1" t="n">
        <v>45902</v>
      </c>
      <c r="E120" s="1" t="n">
        <v>46260</v>
      </c>
      <c r="F120" t="inlineStr">
        <is>
          <t>BLEKINGE LÄN</t>
        </is>
      </c>
      <c r="G120" t="inlineStr">
        <is>
          <t>OLOFSTRÖM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49301-2022</t>
        </is>
      </c>
      <c r="B121" t="inlineStr">
        <is>
          <t>avverkningsanmälan</t>
        </is>
      </c>
      <c r="C121" t="inlineStr">
        <is>
          <t>Föryngringsavverkning</t>
        </is>
      </c>
      <c r="D121" s="1" t="n">
        <v>44858</v>
      </c>
      <c r="E121" s="1" t="n">
        <v>46260</v>
      </c>
      <c r="F121" t="inlineStr">
        <is>
          <t>BLEKINGE LÄN</t>
        </is>
      </c>
      <c r="G121" t="inlineStr">
        <is>
          <t>OLOFSTRÖM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49308-2022</t>
        </is>
      </c>
      <c r="B122" t="inlineStr">
        <is>
          <t>avverkningsanmälan</t>
        </is>
      </c>
      <c r="C122" t="inlineStr">
        <is>
          <t>Föryngringsavverkning</t>
        </is>
      </c>
      <c r="D122" s="1" t="n">
        <v>44858</v>
      </c>
      <c r="E122" s="1" t="n">
        <v>46260</v>
      </c>
      <c r="F122" t="inlineStr">
        <is>
          <t>BLEKINGE LÄN</t>
        </is>
      </c>
      <c r="G122" t="inlineStr">
        <is>
          <t>OLOFSTRÖM</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20408-2025</t>
        </is>
      </c>
      <c r="B123" t="inlineStr">
        <is>
          <t>avverkningsanmälan</t>
        </is>
      </c>
      <c r="C123" t="inlineStr">
        <is>
          <t>Föryngringsavverkning</t>
        </is>
      </c>
      <c r="D123" s="1" t="n">
        <v>45775</v>
      </c>
      <c r="E123" s="1" t="n">
        <v>46260</v>
      </c>
      <c r="F123" t="inlineStr">
        <is>
          <t>BLEKINGE LÄN</t>
        </is>
      </c>
      <c r="G123" t="inlineStr">
        <is>
          <t>OLOFSTRÖM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54015-2021</t>
        </is>
      </c>
      <c r="B124" t="inlineStr">
        <is>
          <t>avverkningsanmälan</t>
        </is>
      </c>
      <c r="C124" t="inlineStr">
        <is>
          <t>Föryngringsavverkning</t>
        </is>
      </c>
      <c r="D124" s="1" t="n">
        <v>44470</v>
      </c>
      <c r="E124" s="1" t="n">
        <v>46260</v>
      </c>
      <c r="F124" t="inlineStr">
        <is>
          <t>BLEKINGE LÄN</t>
        </is>
      </c>
      <c r="G124" t="inlineStr">
        <is>
          <t>OLOFSTRÖM</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42091-2025</t>
        </is>
      </c>
      <c r="B125" t="inlineStr">
        <is>
          <t>avverkningsanmälan</t>
        </is>
      </c>
      <c r="C125" t="inlineStr">
        <is>
          <t>Föryngringsavverkning</t>
        </is>
      </c>
      <c r="D125" s="1" t="n">
        <v>45903</v>
      </c>
      <c r="E125" s="1" t="n">
        <v>46260</v>
      </c>
      <c r="F125" t="inlineStr">
        <is>
          <t>BLEKINGE LÄN</t>
        </is>
      </c>
      <c r="G125" t="inlineStr">
        <is>
          <t>OLOFSTRÖM</t>
        </is>
      </c>
      <c r="I125" t="n">
        <v>4.7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55995-2024</t>
        </is>
      </c>
      <c r="B126" t="inlineStr">
        <is>
          <t>avverkningsanmälan</t>
        </is>
      </c>
      <c r="C126" t="inlineStr">
        <is>
          <t>Föryngringsavverkning</t>
        </is>
      </c>
      <c r="D126" s="1" t="n">
        <v>45623</v>
      </c>
      <c r="E126" s="1" t="n">
        <v>46260</v>
      </c>
      <c r="F126" t="inlineStr">
        <is>
          <t>BLEKINGE LÄN</t>
        </is>
      </c>
      <c r="G126" t="inlineStr">
        <is>
          <t>OLOFSTRÖM</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8428-2026</t>
        </is>
      </c>
      <c r="B127" t="inlineStr">
        <is>
          <t>avverkningsanmälan</t>
        </is>
      </c>
      <c r="C127" t="inlineStr">
        <is>
          <t>Föryngringsavverkning</t>
        </is>
      </c>
      <c r="D127" s="1" t="n">
        <v>46065</v>
      </c>
      <c r="E127" s="1" t="n">
        <v>46260</v>
      </c>
      <c r="F127" t="inlineStr">
        <is>
          <t>BLEKINGE LÄN</t>
        </is>
      </c>
      <c r="G127" t="inlineStr">
        <is>
          <t>OLOFSTRÖM</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7810-2026</t>
        </is>
      </c>
      <c r="B128" t="inlineStr">
        <is>
          <t>avverkningsanmälan</t>
        </is>
      </c>
      <c r="C128" t="inlineStr">
        <is>
          <t>Föryngringsavverkning</t>
        </is>
      </c>
      <c r="D128" s="1" t="n">
        <v>46059</v>
      </c>
      <c r="E128" s="1" t="n">
        <v>46260</v>
      </c>
      <c r="F128" t="inlineStr">
        <is>
          <t>BLEKINGE LÄN</t>
        </is>
      </c>
      <c r="G128" t="inlineStr">
        <is>
          <t>OLOFSTRÖM</t>
        </is>
      </c>
      <c r="I128" t="n">
        <v>16.2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7757-2026</t>
        </is>
      </c>
      <c r="B129" t="inlineStr">
        <is>
          <t>avverkningsanmälan</t>
        </is>
      </c>
      <c r="C129" t="inlineStr">
        <is>
          <t>Föryngringsavverkning</t>
        </is>
      </c>
      <c r="D129" s="1" t="n">
        <v>46059</v>
      </c>
      <c r="E129" s="1" t="n">
        <v>46260</v>
      </c>
      <c r="F129" t="inlineStr">
        <is>
          <t>BLEKINGE LÄN</t>
        </is>
      </c>
      <c r="G129" t="inlineStr">
        <is>
          <t>OLOFSTRÖM</t>
        </is>
      </c>
      <c r="I129" t="n">
        <v>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9291-2026</t>
        </is>
      </c>
      <c r="B130" t="inlineStr">
        <is>
          <t>avverkningsanmälan</t>
        </is>
      </c>
      <c r="C130" t="inlineStr">
        <is>
          <t>Föryngringsavverkning</t>
        </is>
      </c>
      <c r="D130" s="1" t="n">
        <v>46070</v>
      </c>
      <c r="E130" s="1" t="n">
        <v>46260</v>
      </c>
      <c r="F130" t="inlineStr">
        <is>
          <t>BLEKINGE LÄN</t>
        </is>
      </c>
      <c r="G130" t="inlineStr">
        <is>
          <t>OLOFSTRÖM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9279-2026</t>
        </is>
      </c>
      <c r="B131" t="inlineStr">
        <is>
          <t>avverkningsanmälan</t>
        </is>
      </c>
      <c r="C131" t="inlineStr">
        <is>
          <t>Föryngringsavverkning</t>
        </is>
      </c>
      <c r="D131" s="1" t="n">
        <v>46070</v>
      </c>
      <c r="E131" s="1" t="n">
        <v>46260</v>
      </c>
      <c r="F131" t="inlineStr">
        <is>
          <t>BLEKINGE LÄN</t>
        </is>
      </c>
      <c r="G131" t="inlineStr">
        <is>
          <t>OLOFSTRÖM</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43212-2025</t>
        </is>
      </c>
      <c r="B132" t="inlineStr">
        <is>
          <t>avverkningsanmälan</t>
        </is>
      </c>
      <c r="C132" t="inlineStr">
        <is>
          <t>Föryngringsavverkning</t>
        </is>
      </c>
      <c r="D132" s="1" t="n">
        <v>45910</v>
      </c>
      <c r="E132" s="1" t="n">
        <v>46260</v>
      </c>
      <c r="F132" t="inlineStr">
        <is>
          <t>BLEKINGE LÄN</t>
        </is>
      </c>
      <c r="G132" t="inlineStr">
        <is>
          <t>OLOFSTRÖM</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9309-2026</t>
        </is>
      </c>
      <c r="B133" t="inlineStr">
        <is>
          <t>avverkningsanmälan</t>
        </is>
      </c>
      <c r="C133" t="inlineStr">
        <is>
          <t>Föryngringsavverkning</t>
        </is>
      </c>
      <c r="D133" s="1" t="n">
        <v>46070</v>
      </c>
      <c r="E133" s="1" t="n">
        <v>46260</v>
      </c>
      <c r="F133" t="inlineStr">
        <is>
          <t>BLEKINGE LÄN</t>
        </is>
      </c>
      <c r="G133" t="inlineStr">
        <is>
          <t>OLOFSTRÖM</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10701-2026</t>
        </is>
      </c>
      <c r="B134" t="inlineStr">
        <is>
          <t>avverkningsanmälan</t>
        </is>
      </c>
      <c r="C134" t="inlineStr">
        <is>
          <t>Föryngringsavverkning</t>
        </is>
      </c>
      <c r="D134" s="1" t="n">
        <v>46078</v>
      </c>
      <c r="E134" s="1" t="n">
        <v>46260</v>
      </c>
      <c r="F134" t="inlineStr">
        <is>
          <t>BLEKINGE LÄN</t>
        </is>
      </c>
      <c r="G134" t="inlineStr">
        <is>
          <t>OLOFSTRÖM</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55999-2024</t>
        </is>
      </c>
      <c r="B135" t="inlineStr">
        <is>
          <t>avverkningsanmälan</t>
        </is>
      </c>
      <c r="C135" t="inlineStr">
        <is>
          <t>Föryngringsavverkning</t>
        </is>
      </c>
      <c r="D135" s="1" t="n">
        <v>45623</v>
      </c>
      <c r="E135" s="1" t="n">
        <v>46260</v>
      </c>
      <c r="F135" t="inlineStr">
        <is>
          <t>BLEKINGE LÄN</t>
        </is>
      </c>
      <c r="G135" t="inlineStr">
        <is>
          <t>OLOFSTRÖM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62698-2023</t>
        </is>
      </c>
      <c r="B136" t="inlineStr">
        <is>
          <t>avverkningsanmälan</t>
        </is>
      </c>
      <c r="C136" t="inlineStr">
        <is>
          <t>Föryngringsavverkning</t>
        </is>
      </c>
      <c r="D136" s="1" t="n">
        <v>45268</v>
      </c>
      <c r="E136" s="1" t="n">
        <v>46260</v>
      </c>
      <c r="F136" t="inlineStr">
        <is>
          <t>BLEKINGE LÄN</t>
        </is>
      </c>
      <c r="G136" t="inlineStr">
        <is>
          <t>OLOFSTRÖM</t>
        </is>
      </c>
      <c r="H136" t="inlineStr">
        <is>
          <t>Övriga Aktiebolag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46315-2025</t>
        </is>
      </c>
      <c r="B137" t="inlineStr">
        <is>
          <t>avverkningsanmälan</t>
        </is>
      </c>
      <c r="C137" t="inlineStr">
        <is>
          <t>Föryngringsavverkning</t>
        </is>
      </c>
      <c r="D137" s="1" t="n">
        <v>45925</v>
      </c>
      <c r="E137" s="1" t="n">
        <v>46260</v>
      </c>
      <c r="F137" t="inlineStr">
        <is>
          <t>BLEKINGE LÄN</t>
        </is>
      </c>
      <c r="G137" t="inlineStr">
        <is>
          <t>OLOFSTRÖM</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46325-2025</t>
        </is>
      </c>
      <c r="B138" t="inlineStr">
        <is>
          <t>avverkningsanmälan</t>
        </is>
      </c>
      <c r="C138" t="inlineStr">
        <is>
          <t>Föryngringsavverkning</t>
        </is>
      </c>
      <c r="D138" s="1" t="n">
        <v>45925</v>
      </c>
      <c r="E138" s="1" t="n">
        <v>46260</v>
      </c>
      <c r="F138" t="inlineStr">
        <is>
          <t>BLEKINGE LÄN</t>
        </is>
      </c>
      <c r="G138" t="inlineStr">
        <is>
          <t>OLOFSTRÖM</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6563-2025</t>
        </is>
      </c>
      <c r="B139" t="inlineStr">
        <is>
          <t>avverkningsanmälan</t>
        </is>
      </c>
      <c r="C139" t="inlineStr">
        <is>
          <t>Föryngringsavverkning</t>
        </is>
      </c>
      <c r="D139" s="1" t="n">
        <v>45699</v>
      </c>
      <c r="E139" s="1" t="n">
        <v>46260</v>
      </c>
      <c r="F139" t="inlineStr">
        <is>
          <t>BLEKINGE LÄN</t>
        </is>
      </c>
      <c r="G139" t="inlineStr">
        <is>
          <t>OLOFSTRÖM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42431-2023</t>
        </is>
      </c>
      <c r="B140" t="inlineStr">
        <is>
          <t>avverkningsanmälan</t>
        </is>
      </c>
      <c r="C140" t="inlineStr">
        <is>
          <t>Föryngringsavverkning</t>
        </is>
      </c>
      <c r="D140" s="1" t="n">
        <v>45180</v>
      </c>
      <c r="E140" s="1" t="n">
        <v>46260</v>
      </c>
      <c r="F140" t="inlineStr">
        <is>
          <t>BLEKINGE LÄN</t>
        </is>
      </c>
      <c r="G140" t="inlineStr">
        <is>
          <t>OLOFSTRÖM</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51460-2023</t>
        </is>
      </c>
      <c r="B141" t="inlineStr">
        <is>
          <t>avverkningsanmälan</t>
        </is>
      </c>
      <c r="C141" t="inlineStr">
        <is>
          <t>Föryngringsavverkning</t>
        </is>
      </c>
      <c r="D141" s="1" t="n">
        <v>45221</v>
      </c>
      <c r="E141" s="1" t="n">
        <v>46260</v>
      </c>
      <c r="F141" t="inlineStr">
        <is>
          <t>BLEKINGE LÄN</t>
        </is>
      </c>
      <c r="G141" t="inlineStr">
        <is>
          <t>OLOFSTRÖM</t>
        </is>
      </c>
      <c r="I141" t="n">
        <v>5.8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46531-2023</t>
        </is>
      </c>
      <c r="B142" t="inlineStr">
        <is>
          <t>avverkningsanmälan</t>
        </is>
      </c>
      <c r="C142" t="inlineStr">
        <is>
          <t>Föryngringsavverkning</t>
        </is>
      </c>
      <c r="D142" s="1" t="n">
        <v>45197</v>
      </c>
      <c r="E142" s="1" t="n">
        <v>46260</v>
      </c>
      <c r="F142" t="inlineStr">
        <is>
          <t>BLEKINGE LÄN</t>
        </is>
      </c>
      <c r="G142" t="inlineStr">
        <is>
          <t>OLOFSTRÖM</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47226-2025</t>
        </is>
      </c>
      <c r="B143" t="inlineStr">
        <is>
          <t>avverkningsanmälan</t>
        </is>
      </c>
      <c r="C143" t="inlineStr">
        <is>
          <t>Föryngringsavverkning</t>
        </is>
      </c>
      <c r="D143" s="1" t="n">
        <v>45930</v>
      </c>
      <c r="E143" s="1" t="n">
        <v>46260</v>
      </c>
      <c r="F143" t="inlineStr">
        <is>
          <t>BLEKINGE LÄN</t>
        </is>
      </c>
      <c r="G143" t="inlineStr">
        <is>
          <t>OLOFSTRÖM</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47774-2023</t>
        </is>
      </c>
      <c r="B144" t="inlineStr">
        <is>
          <t>avverkningsanmälan</t>
        </is>
      </c>
      <c r="C144" t="inlineStr">
        <is>
          <t>Föryngringsavverkning</t>
        </is>
      </c>
      <c r="D144" s="1" t="n">
        <v>45203</v>
      </c>
      <c r="E144" s="1" t="n">
        <v>46260</v>
      </c>
      <c r="F144" t="inlineStr">
        <is>
          <t>BLEKINGE LÄN</t>
        </is>
      </c>
      <c r="G144" t="inlineStr">
        <is>
          <t>OLOFSTRÖM</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64810-2023</t>
        </is>
      </c>
      <c r="B145" t="inlineStr">
        <is>
          <t>avverkningsanmälan</t>
        </is>
      </c>
      <c r="C145" t="inlineStr">
        <is>
          <t>Föryngringsavverkning</t>
        </is>
      </c>
      <c r="D145" s="1" t="n">
        <v>45282</v>
      </c>
      <c r="E145" s="1" t="n">
        <v>46260</v>
      </c>
      <c r="F145" t="inlineStr">
        <is>
          <t>BLEKINGE LÄN</t>
        </is>
      </c>
      <c r="G145" t="inlineStr">
        <is>
          <t>OLOFSTRÖM</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56072-2023</t>
        </is>
      </c>
      <c r="B146" t="inlineStr">
        <is>
          <t>avverkningsanmälan</t>
        </is>
      </c>
      <c r="C146" t="inlineStr">
        <is>
          <t>Föryngringsavverkning</t>
        </is>
      </c>
      <c r="D146" s="1" t="n">
        <v>45233</v>
      </c>
      <c r="E146" s="1" t="n">
        <v>46260</v>
      </c>
      <c r="F146" t="inlineStr">
        <is>
          <t>BLEKINGE LÄN</t>
        </is>
      </c>
      <c r="G146" t="inlineStr">
        <is>
          <t>OLOFSTRÖM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13758-2026</t>
        </is>
      </c>
      <c r="B147" t="inlineStr">
        <is>
          <t>avverkningsanmälan</t>
        </is>
      </c>
      <c r="C147" t="inlineStr">
        <is>
          <t>Föryngringsavverkning</t>
        </is>
      </c>
      <c r="D147" s="1" t="n">
        <v>46097</v>
      </c>
      <c r="E147" s="1" t="n">
        <v>46260</v>
      </c>
      <c r="F147" t="inlineStr">
        <is>
          <t>BLEKINGE LÄN</t>
        </is>
      </c>
      <c r="G147" t="inlineStr">
        <is>
          <t>OLOFSTRÖM</t>
        </is>
      </c>
      <c r="H147" t="inlineStr">
        <is>
          <t>Övriga Aktiebolag</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39058-2024</t>
        </is>
      </c>
      <c r="B148" t="inlineStr">
        <is>
          <t>avverkningsanmälan</t>
        </is>
      </c>
      <c r="C148" t="inlineStr">
        <is>
          <t>Föryngringsavverkning</t>
        </is>
      </c>
      <c r="D148" s="1" t="n">
        <v>45548</v>
      </c>
      <c r="E148" s="1" t="n">
        <v>46260</v>
      </c>
      <c r="F148" t="inlineStr">
        <is>
          <t>BLEKINGE LÄN</t>
        </is>
      </c>
      <c r="G148" t="inlineStr">
        <is>
          <t>OLOFSTRÖM</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53605-2024</t>
        </is>
      </c>
      <c r="B149" t="inlineStr">
        <is>
          <t>avverkningsanmälan</t>
        </is>
      </c>
      <c r="C149" t="inlineStr">
        <is>
          <t>Föryngringsavverkning</t>
        </is>
      </c>
      <c r="D149" s="1" t="n">
        <v>45614</v>
      </c>
      <c r="E149" s="1" t="n">
        <v>46260</v>
      </c>
      <c r="F149" t="inlineStr">
        <is>
          <t>BLEKINGE LÄN</t>
        </is>
      </c>
      <c r="G149" t="inlineStr">
        <is>
          <t>OLOFSTRÖM</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49271-2025</t>
        </is>
      </c>
      <c r="B150" t="inlineStr">
        <is>
          <t>avverkningsanmälan</t>
        </is>
      </c>
      <c r="C150" t="inlineStr">
        <is>
          <t>Föryngringsavverkning</t>
        </is>
      </c>
      <c r="D150" s="1" t="n">
        <v>45938</v>
      </c>
      <c r="E150" s="1" t="n">
        <v>46260</v>
      </c>
      <c r="F150" t="inlineStr">
        <is>
          <t>BLEKINGE LÄN</t>
        </is>
      </c>
      <c r="G150" t="inlineStr">
        <is>
          <t>OLOFSTRÖM</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14904-2026</t>
        </is>
      </c>
      <c r="B151" t="inlineStr">
        <is>
          <t>avverkningsanmälan</t>
        </is>
      </c>
      <c r="C151" t="inlineStr">
        <is>
          <t>Föryngringsavverkning</t>
        </is>
      </c>
      <c r="D151" s="1" t="n">
        <v>46104</v>
      </c>
      <c r="E151" s="1" t="n">
        <v>46260</v>
      </c>
      <c r="F151" t="inlineStr">
        <is>
          <t>BLEKINGE LÄN</t>
        </is>
      </c>
      <c r="G151" t="inlineStr">
        <is>
          <t>OLOFSTRÖM</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15688-2026</t>
        </is>
      </c>
      <c r="B152" t="inlineStr">
        <is>
          <t>avverkningsanmälan</t>
        </is>
      </c>
      <c r="C152" t="inlineStr">
        <is>
          <t>Föryngringsavverkning</t>
        </is>
      </c>
      <c r="D152" s="1" t="n">
        <v>46106</v>
      </c>
      <c r="E152" s="1" t="n">
        <v>46260</v>
      </c>
      <c r="F152" t="inlineStr">
        <is>
          <t>BLEKINGE LÄN</t>
        </is>
      </c>
      <c r="G152" t="inlineStr">
        <is>
          <t>OLOFSTRÖM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30205-2025</t>
        </is>
      </c>
      <c r="B153" t="inlineStr">
        <is>
          <t>avverkningsanmälan</t>
        </is>
      </c>
      <c r="C153" t="inlineStr">
        <is>
          <t>Föryngringsavverkning</t>
        </is>
      </c>
      <c r="D153" s="1" t="n">
        <v>45827</v>
      </c>
      <c r="E153" s="1" t="n">
        <v>46260</v>
      </c>
      <c r="F153" t="inlineStr">
        <is>
          <t>BLEKINGE LÄN</t>
        </is>
      </c>
      <c r="G153" t="inlineStr">
        <is>
          <t>OLOFSTRÖM</t>
        </is>
      </c>
      <c r="I153" t="n">
        <v>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49784-2025</t>
        </is>
      </c>
      <c r="B154" t="inlineStr">
        <is>
          <t>avverkningsanmälan</t>
        </is>
      </c>
      <c r="C154" t="inlineStr">
        <is>
          <t>Föryngringsavverkning</t>
        </is>
      </c>
      <c r="D154" s="1" t="n">
        <v>45940</v>
      </c>
      <c r="E154" s="1" t="n">
        <v>46260</v>
      </c>
      <c r="F154" t="inlineStr">
        <is>
          <t>BLEKINGE LÄN</t>
        </is>
      </c>
      <c r="G154" t="inlineStr">
        <is>
          <t>OLOFSTRÖM</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9288-2026</t>
        </is>
      </c>
      <c r="B155" t="inlineStr">
        <is>
          <t>avverkningsanmälan</t>
        </is>
      </c>
      <c r="C155" t="inlineStr">
        <is>
          <t>Föryngringsavverkning</t>
        </is>
      </c>
      <c r="D155" s="1" t="n">
        <v>46070</v>
      </c>
      <c r="E155" s="1" t="n">
        <v>46260</v>
      </c>
      <c r="F155" t="inlineStr">
        <is>
          <t>BLEKINGE LÄN</t>
        </is>
      </c>
      <c r="G155" t="inlineStr">
        <is>
          <t>OLOFSTRÖM</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42736-2022</t>
        </is>
      </c>
      <c r="B156" t="inlineStr">
        <is>
          <t>avverkningsanmälan</t>
        </is>
      </c>
      <c r="C156" t="inlineStr">
        <is>
          <t>Föryngringsavverkning</t>
        </is>
      </c>
      <c r="D156" s="1" t="n">
        <v>44832</v>
      </c>
      <c r="E156" s="1" t="n">
        <v>46260</v>
      </c>
      <c r="F156" t="inlineStr">
        <is>
          <t>BLEKINGE LÄN</t>
        </is>
      </c>
      <c r="G156" t="inlineStr">
        <is>
          <t>OLOFSTRÖM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10144-2025</t>
        </is>
      </c>
      <c r="B157" t="inlineStr">
        <is>
          <t>avverkningsanmälan</t>
        </is>
      </c>
      <c r="C157" t="inlineStr">
        <is>
          <t>Föryngringsavverkning</t>
        </is>
      </c>
      <c r="D157" s="1" t="n">
        <v>45719</v>
      </c>
      <c r="E157" s="1" t="n">
        <v>46260</v>
      </c>
      <c r="F157" t="inlineStr">
        <is>
          <t>BLEKINGE LÄN</t>
        </is>
      </c>
      <c r="G157" t="inlineStr">
        <is>
          <t>OLOFSTRÖM</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2300-2023</t>
        </is>
      </c>
      <c r="B158" t="inlineStr">
        <is>
          <t>avverkningsanmälan</t>
        </is>
      </c>
      <c r="C158" t="inlineStr">
        <is>
          <t>Föryngringsavverkning</t>
        </is>
      </c>
      <c r="D158" s="1" t="n">
        <v>44942</v>
      </c>
      <c r="E158" s="1" t="n">
        <v>46260</v>
      </c>
      <c r="F158" t="inlineStr">
        <is>
          <t>BLEKINGE LÄN</t>
        </is>
      </c>
      <c r="G158" t="inlineStr">
        <is>
          <t>OLOFSTRÖM</t>
        </is>
      </c>
      <c r="H158" t="inlineStr">
        <is>
          <t>Kommuner</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3735-2023</t>
        </is>
      </c>
      <c r="B159" t="inlineStr">
        <is>
          <t>avverkningsanmälan</t>
        </is>
      </c>
      <c r="C159" t="inlineStr">
        <is>
          <t>Föryngringsavverkning</t>
        </is>
      </c>
      <c r="D159" s="1" t="n">
        <v>44951</v>
      </c>
      <c r="E159" s="1" t="n">
        <v>46260</v>
      </c>
      <c r="F159" t="inlineStr">
        <is>
          <t>BLEKINGE LÄN</t>
        </is>
      </c>
      <c r="G159" t="inlineStr">
        <is>
          <t>OLOFSTRÖM</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8043-2025</t>
        </is>
      </c>
      <c r="B160" t="inlineStr">
        <is>
          <t>avverkningsanmälan</t>
        </is>
      </c>
      <c r="C160" t="inlineStr">
        <is>
          <t>Föryngringsavverkning</t>
        </is>
      </c>
      <c r="D160" s="1" t="n">
        <v>45707</v>
      </c>
      <c r="E160" s="1" t="n">
        <v>46260</v>
      </c>
      <c r="F160" t="inlineStr">
        <is>
          <t>BLEKINGE LÄN</t>
        </is>
      </c>
      <c r="G160" t="inlineStr">
        <is>
          <t>OLOFSTRÖM</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17232-2026</t>
        </is>
      </c>
      <c r="B161" t="inlineStr">
        <is>
          <t>avverkningsanmälan</t>
        </is>
      </c>
      <c r="C161" t="inlineStr">
        <is>
          <t>Föryngringsavverkning</t>
        </is>
      </c>
      <c r="D161" s="1" t="n">
        <v>46119</v>
      </c>
      <c r="E161" s="1" t="n">
        <v>46260</v>
      </c>
      <c r="F161" t="inlineStr">
        <is>
          <t>BLEKINGE LÄN</t>
        </is>
      </c>
      <c r="G161" t="inlineStr">
        <is>
          <t>OLOFSTRÖM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14665-2025</t>
        </is>
      </c>
      <c r="B162" t="inlineStr">
        <is>
          <t>avverkningsanmälan</t>
        </is>
      </c>
      <c r="C162" t="inlineStr">
        <is>
          <t>Föryngringsavverkning</t>
        </is>
      </c>
      <c r="D162" s="1" t="n">
        <v>45742</v>
      </c>
      <c r="E162" s="1" t="n">
        <v>46260</v>
      </c>
      <c r="F162" t="inlineStr">
        <is>
          <t>BLEKINGE LÄN</t>
        </is>
      </c>
      <c r="G162" t="inlineStr">
        <is>
          <t>OLOFSTRÖM</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56010-2022</t>
        </is>
      </c>
      <c r="B163" t="inlineStr">
        <is>
          <t>avverkningsanmälan</t>
        </is>
      </c>
      <c r="C163" t="inlineStr">
        <is>
          <t>Föryngringsavverkning</t>
        </is>
      </c>
      <c r="D163" s="1" t="n">
        <v>44889</v>
      </c>
      <c r="E163" s="1" t="n">
        <v>46260</v>
      </c>
      <c r="F163" t="inlineStr">
        <is>
          <t>BLEKINGE LÄN</t>
        </is>
      </c>
      <c r="G163" t="inlineStr">
        <is>
          <t>OLOFSTRÖM</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17459-2026</t>
        </is>
      </c>
      <c r="B164" t="inlineStr">
        <is>
          <t>avverkningsanmälan</t>
        </is>
      </c>
      <c r="C164" t="inlineStr">
        <is>
          <t>Föryngringsavverkning</t>
        </is>
      </c>
      <c r="D164" s="1" t="n">
        <v>46120</v>
      </c>
      <c r="E164" s="1" t="n">
        <v>46260</v>
      </c>
      <c r="F164" t="inlineStr">
        <is>
          <t>BLEKINGE LÄN</t>
        </is>
      </c>
      <c r="G164" t="inlineStr">
        <is>
          <t>OLOFSTRÖM</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30469-2025</t>
        </is>
      </c>
      <c r="B165" t="inlineStr">
        <is>
          <t>avverkningsanmälan</t>
        </is>
      </c>
      <c r="C165" t="inlineStr">
        <is>
          <t>Avverkning för att bevara och utveckla /försöksver</t>
        </is>
      </c>
      <c r="D165" s="1" t="n">
        <v>45827</v>
      </c>
      <c r="E165" s="1" t="n">
        <v>46260</v>
      </c>
      <c r="F165" t="inlineStr">
        <is>
          <t>BLEKINGE LÄN</t>
        </is>
      </c>
      <c r="G165" t="inlineStr">
        <is>
          <t>OLOFSTRÖM</t>
        </is>
      </c>
      <c r="H165" t="inlineStr">
        <is>
          <t>Sveaskog</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52694-2025</t>
        </is>
      </c>
      <c r="B166" t="inlineStr">
        <is>
          <t>avverkningsanmälan</t>
        </is>
      </c>
      <c r="C166" t="inlineStr">
        <is>
          <t>Avverkning för att bevara och utveckla /försöksver</t>
        </is>
      </c>
      <c r="D166" s="1" t="n">
        <v>45956</v>
      </c>
      <c r="E166" s="1" t="n">
        <v>46260</v>
      </c>
      <c r="F166" t="inlineStr">
        <is>
          <t>BLEKINGE LÄN</t>
        </is>
      </c>
      <c r="G166" t="inlineStr">
        <is>
          <t>OLOFSTRÖM</t>
        </is>
      </c>
      <c r="H166" t="inlineStr">
        <is>
          <t>Sveaskog</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18046-2026</t>
        </is>
      </c>
      <c r="B167" t="inlineStr">
        <is>
          <t>avverkningsanmälan</t>
        </is>
      </c>
      <c r="C167" t="inlineStr">
        <is>
          <t>Föryngringsavverkning</t>
        </is>
      </c>
      <c r="D167" s="1" t="n">
        <v>46125</v>
      </c>
      <c r="E167" s="1" t="n">
        <v>46260</v>
      </c>
      <c r="F167" t="inlineStr">
        <is>
          <t>BLEKINGE LÄN</t>
        </is>
      </c>
      <c r="G167" t="inlineStr">
        <is>
          <t>OLOFSTRÖM</t>
        </is>
      </c>
      <c r="I167" t="n">
        <v>3.6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27791-2022</t>
        </is>
      </c>
      <c r="B168" t="inlineStr">
        <is>
          <t>avverkningsanmälan</t>
        </is>
      </c>
      <c r="C168" t="inlineStr">
        <is>
          <t>Föryngringsavverkning</t>
        </is>
      </c>
      <c r="D168" s="1" t="n">
        <v>44743</v>
      </c>
      <c r="E168" s="1" t="n">
        <v>46260</v>
      </c>
      <c r="F168" t="inlineStr">
        <is>
          <t>BLEKINGE LÄN</t>
        </is>
      </c>
      <c r="G168" t="inlineStr">
        <is>
          <t>OLOFSTRÖM</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31294-2023</t>
        </is>
      </c>
      <c r="B169" t="inlineStr">
        <is>
          <t>avverkningsanmälan</t>
        </is>
      </c>
      <c r="C169" t="inlineStr">
        <is>
          <t>Föryngringsavverkning</t>
        </is>
      </c>
      <c r="D169" s="1" t="n">
        <v>45114</v>
      </c>
      <c r="E169" s="1" t="n">
        <v>46260</v>
      </c>
      <c r="F169" t="inlineStr">
        <is>
          <t>BLEKINGE LÄN</t>
        </is>
      </c>
      <c r="G169" t="inlineStr">
        <is>
          <t>OLOFSTRÖM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18472-2026</t>
        </is>
      </c>
      <c r="B170" t="inlineStr">
        <is>
          <t>avverkningsanmälan</t>
        </is>
      </c>
      <c r="C170" t="inlineStr">
        <is>
          <t>Föryngringsavverkning</t>
        </is>
      </c>
      <c r="D170" s="1" t="n">
        <v>46127</v>
      </c>
      <c r="E170" s="1" t="n">
        <v>46260</v>
      </c>
      <c r="F170" t="inlineStr">
        <is>
          <t>BLEKINGE LÄN</t>
        </is>
      </c>
      <c r="G170" t="inlineStr">
        <is>
          <t>OLOFSTRÖM</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30470-2025</t>
        </is>
      </c>
      <c r="B171" t="inlineStr">
        <is>
          <t>avverkningsanmälan</t>
        </is>
      </c>
      <c r="C171" t="inlineStr">
        <is>
          <t>Avverkning för att bevara och utveckla /försöksver</t>
        </is>
      </c>
      <c r="D171" s="1" t="n">
        <v>45827</v>
      </c>
      <c r="E171" s="1" t="n">
        <v>46260</v>
      </c>
      <c r="F171" t="inlineStr">
        <is>
          <t>BLEKINGE LÄN</t>
        </is>
      </c>
      <c r="G171" t="inlineStr">
        <is>
          <t>OLOFSTRÖM</t>
        </is>
      </c>
      <c r="H171" t="inlineStr">
        <is>
          <t>Sveaskog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54492-2025</t>
        </is>
      </c>
      <c r="B172" t="inlineStr">
        <is>
          <t>avverkningsanmälan</t>
        </is>
      </c>
      <c r="C172" t="inlineStr">
        <is>
          <t>Föryngringsavverkning</t>
        </is>
      </c>
      <c r="D172" s="1" t="n">
        <v>45965</v>
      </c>
      <c r="E172" s="1" t="n">
        <v>46260</v>
      </c>
      <c r="F172" t="inlineStr">
        <is>
          <t>BLEKINGE LÄN</t>
        </is>
      </c>
      <c r="G172" t="inlineStr">
        <is>
          <t>OLOFSTRÖM</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1015-2023</t>
        </is>
      </c>
      <c r="B173" t="inlineStr">
        <is>
          <t>avverkningsanmälan</t>
        </is>
      </c>
      <c r="C173" t="inlineStr">
        <is>
          <t>Föryngringsavverkning</t>
        </is>
      </c>
      <c r="D173" s="1" t="n">
        <v>44935</v>
      </c>
      <c r="E173" s="1" t="n">
        <v>46260</v>
      </c>
      <c r="F173" t="inlineStr">
        <is>
          <t>BLEKINGE LÄN</t>
        </is>
      </c>
      <c r="G173" t="inlineStr">
        <is>
          <t>OLOFSTRÖM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54043-2025</t>
        </is>
      </c>
      <c r="B174" t="inlineStr">
        <is>
          <t>avverkningsanmälan</t>
        </is>
      </c>
      <c r="C174" t="inlineStr">
        <is>
          <t>Föryngringsavverkning</t>
        </is>
      </c>
      <c r="D174" s="1" t="n">
        <v>45963</v>
      </c>
      <c r="E174" s="1" t="n">
        <v>46260</v>
      </c>
      <c r="F174" t="inlineStr">
        <is>
          <t>BLEKINGE LÄN</t>
        </is>
      </c>
      <c r="G174" t="inlineStr">
        <is>
          <t>OLOFSTRÖM</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30509-2023</t>
        </is>
      </c>
      <c r="B175" t="inlineStr">
        <is>
          <t>avverkningsanmälan</t>
        </is>
      </c>
      <c r="C175" t="inlineStr">
        <is>
          <t>Föryngringsavverkning</t>
        </is>
      </c>
      <c r="D175" s="1" t="n">
        <v>45111</v>
      </c>
      <c r="E175" s="1" t="n">
        <v>46260</v>
      </c>
      <c r="F175" t="inlineStr">
        <is>
          <t>BLEKINGE LÄN</t>
        </is>
      </c>
      <c r="G175" t="inlineStr">
        <is>
          <t>OLOFSTRÖM</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47892-2023</t>
        </is>
      </c>
      <c r="B176" t="inlineStr">
        <is>
          <t>avverkningsanmälan</t>
        </is>
      </c>
      <c r="C176" t="inlineStr">
        <is>
          <t>Föryngringsavverkning</t>
        </is>
      </c>
      <c r="D176" s="1" t="n">
        <v>45198</v>
      </c>
      <c r="E176" s="1" t="n">
        <v>46260</v>
      </c>
      <c r="F176" t="inlineStr">
        <is>
          <t>BLEKINGE LÄN</t>
        </is>
      </c>
      <c r="G176" t="inlineStr">
        <is>
          <t>OLOFSTRÖM</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49786-2022</t>
        </is>
      </c>
      <c r="B177" t="inlineStr">
        <is>
          <t>avverkningsanmälan</t>
        </is>
      </c>
      <c r="C177" t="inlineStr">
        <is>
          <t>Föryngringsavverkning</t>
        </is>
      </c>
      <c r="D177" s="1" t="n">
        <v>44862</v>
      </c>
      <c r="E177" s="1" t="n">
        <v>46260</v>
      </c>
      <c r="F177" t="inlineStr">
        <is>
          <t>BLEKINGE LÄN</t>
        </is>
      </c>
      <c r="G177" t="inlineStr">
        <is>
          <t>OLOFSTRÖM</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55074-2025</t>
        </is>
      </c>
      <c r="B178" t="inlineStr">
        <is>
          <t>avverkningsanmälan</t>
        </is>
      </c>
      <c r="C178" t="inlineStr">
        <is>
          <t>Föryngringsavverkning</t>
        </is>
      </c>
      <c r="D178" s="1" t="n">
        <v>45967</v>
      </c>
      <c r="E178" s="1" t="n">
        <v>46260</v>
      </c>
      <c r="F178" t="inlineStr">
        <is>
          <t>BLEKINGE LÄN</t>
        </is>
      </c>
      <c r="G178" t="inlineStr">
        <is>
          <t>OLOFSTRÖM</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57238-2024</t>
        </is>
      </c>
      <c r="B179" t="inlineStr">
        <is>
          <t>avverkningsanmälan</t>
        </is>
      </c>
      <c r="C179" t="inlineStr">
        <is>
          <t>Föryngringsavverkning</t>
        </is>
      </c>
      <c r="D179" s="1" t="n">
        <v>45629</v>
      </c>
      <c r="E179" s="1" t="n">
        <v>46260</v>
      </c>
      <c r="F179" t="inlineStr">
        <is>
          <t>BLEKINGE LÄN</t>
        </is>
      </c>
      <c r="G179" t="inlineStr">
        <is>
          <t>OLOFSTRÖM</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34932-2025</t>
        </is>
      </c>
      <c r="B180" t="inlineStr">
        <is>
          <t>avverkningsanmälan</t>
        </is>
      </c>
      <c r="C180" t="inlineStr">
        <is>
          <t>Föryngringsavverkning</t>
        </is>
      </c>
      <c r="D180" s="1" t="n">
        <v>45849</v>
      </c>
      <c r="E180" s="1" t="n">
        <v>46260</v>
      </c>
      <c r="F180" t="inlineStr">
        <is>
          <t>BLEKINGE LÄN</t>
        </is>
      </c>
      <c r="G180" t="inlineStr">
        <is>
          <t>OLOFSTRÖM</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56678-2025</t>
        </is>
      </c>
      <c r="B181" t="inlineStr">
        <is>
          <t>avverkningsanmälan</t>
        </is>
      </c>
      <c r="C181" t="inlineStr">
        <is>
          <t>Föryngringsavverkning</t>
        </is>
      </c>
      <c r="D181" s="1" t="n">
        <v>45975</v>
      </c>
      <c r="E181" s="1" t="n">
        <v>46260</v>
      </c>
      <c r="F181" t="inlineStr">
        <is>
          <t>BLEKINGE LÄN</t>
        </is>
      </c>
      <c r="G181" t="inlineStr">
        <is>
          <t>OLOFSTRÖM</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38405-2025</t>
        </is>
      </c>
      <c r="B182" t="inlineStr">
        <is>
          <t>avverkningsanmälan</t>
        </is>
      </c>
      <c r="C182" t="inlineStr">
        <is>
          <t>Föryngringsavverkning</t>
        </is>
      </c>
      <c r="D182" s="1" t="n">
        <v>45883</v>
      </c>
      <c r="E182" s="1" t="n">
        <v>46260</v>
      </c>
      <c r="F182" t="inlineStr">
        <is>
          <t>BLEKINGE LÄN</t>
        </is>
      </c>
      <c r="G182" t="inlineStr">
        <is>
          <t>OLOFSTRÖM</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33862-2023</t>
        </is>
      </c>
      <c r="B183" t="inlineStr">
        <is>
          <t>avverkningsanmälan</t>
        </is>
      </c>
      <c r="C183" t="inlineStr">
        <is>
          <t>Föryngringsavverkning</t>
        </is>
      </c>
      <c r="D183" s="1" t="n">
        <v>45133</v>
      </c>
      <c r="E183" s="1" t="n">
        <v>46260</v>
      </c>
      <c r="F183" t="inlineStr">
        <is>
          <t>BLEKINGE LÄN</t>
        </is>
      </c>
      <c r="G183" t="inlineStr">
        <is>
          <t>OLOFSTRÖM</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17017-2025</t>
        </is>
      </c>
      <c r="B184" t="inlineStr">
        <is>
          <t>avverkningsanmälan</t>
        </is>
      </c>
      <c r="C184" t="inlineStr">
        <is>
          <t>Föryngringsavverkning</t>
        </is>
      </c>
      <c r="D184" s="1" t="n">
        <v>45755</v>
      </c>
      <c r="E184" s="1" t="n">
        <v>46260</v>
      </c>
      <c r="F184" t="inlineStr">
        <is>
          <t>BLEKINGE LÄN</t>
        </is>
      </c>
      <c r="G184" t="inlineStr">
        <is>
          <t>OLOFSTRÖM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20448-2025</t>
        </is>
      </c>
      <c r="B185" t="inlineStr">
        <is>
          <t>avverkningsanmälan</t>
        </is>
      </c>
      <c r="C185" t="inlineStr">
        <is>
          <t>Föryngringsavverkning</t>
        </is>
      </c>
      <c r="D185" s="1" t="n">
        <v>45775</v>
      </c>
      <c r="E185" s="1" t="n">
        <v>46260</v>
      </c>
      <c r="F185" t="inlineStr">
        <is>
          <t>BLEKINGE LÄN</t>
        </is>
      </c>
      <c r="G185" t="inlineStr">
        <is>
          <t>OLOFSTRÖM</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8041-2025</t>
        </is>
      </c>
      <c r="B186" t="inlineStr">
        <is>
          <t>avverkningsanmälan</t>
        </is>
      </c>
      <c r="C186" t="inlineStr">
        <is>
          <t>Föryngringsavverkning</t>
        </is>
      </c>
      <c r="D186" s="1" t="n">
        <v>45707</v>
      </c>
      <c r="E186" s="1" t="n">
        <v>46260</v>
      </c>
      <c r="F186" t="inlineStr">
        <is>
          <t>BLEKINGE LÄN</t>
        </is>
      </c>
      <c r="G186" t="inlineStr">
        <is>
          <t>OLOFSTRÖM</t>
        </is>
      </c>
      <c r="I186" t="n">
        <v>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8060-2025</t>
        </is>
      </c>
      <c r="B187" t="inlineStr">
        <is>
          <t>avverkningsanmälan</t>
        </is>
      </c>
      <c r="C187" t="inlineStr">
        <is>
          <t>Föryngringsavverkning</t>
        </is>
      </c>
      <c r="D187" s="1" t="n">
        <v>45707</v>
      </c>
      <c r="E187" s="1" t="n">
        <v>46260</v>
      </c>
      <c r="F187" t="inlineStr">
        <is>
          <t>BLEKINGE LÄN</t>
        </is>
      </c>
      <c r="G187" t="inlineStr">
        <is>
          <t>OLOFSTRÖM</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8486-2025</t>
        </is>
      </c>
      <c r="B188" t="inlineStr">
        <is>
          <t>avverkningsanmälan</t>
        </is>
      </c>
      <c r="C188" t="inlineStr">
        <is>
          <t>Föryngringsavverkning</t>
        </is>
      </c>
      <c r="D188" s="1" t="n">
        <v>45709</v>
      </c>
      <c r="E188" s="1" t="n">
        <v>46260</v>
      </c>
      <c r="F188" t="inlineStr">
        <is>
          <t>BLEKINGE LÄN</t>
        </is>
      </c>
      <c r="G188" t="inlineStr">
        <is>
          <t>OLOFSTRÖM</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61802-2023</t>
        </is>
      </c>
      <c r="B189" t="inlineStr">
        <is>
          <t>avverkningsanmälan</t>
        </is>
      </c>
      <c r="C189" t="inlineStr">
        <is>
          <t>Föryngringsavverkning</t>
        </is>
      </c>
      <c r="D189" s="1" t="n">
        <v>45265</v>
      </c>
      <c r="E189" s="1" t="n">
        <v>46260</v>
      </c>
      <c r="F189" t="inlineStr">
        <is>
          <t>BLEKINGE LÄN</t>
        </is>
      </c>
      <c r="G189" t="inlineStr">
        <is>
          <t>OLOFSTRÖM</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28328-2025</t>
        </is>
      </c>
      <c r="B190" t="inlineStr">
        <is>
          <t>avverkningsanmälan</t>
        </is>
      </c>
      <c r="C190" t="inlineStr">
        <is>
          <t>Föryngringsavverkning</t>
        </is>
      </c>
      <c r="D190" s="1" t="n">
        <v>45818</v>
      </c>
      <c r="E190" s="1" t="n">
        <v>46260</v>
      </c>
      <c r="F190" t="inlineStr">
        <is>
          <t>BLEKINGE LÄN</t>
        </is>
      </c>
      <c r="G190" t="inlineStr">
        <is>
          <t>OLOFSTRÖM</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59249-2025</t>
        </is>
      </c>
      <c r="B191" t="inlineStr">
        <is>
          <t>avverkningsanmälan</t>
        </is>
      </c>
      <c r="C191" t="inlineStr">
        <is>
          <t>Föryngringsavverkning</t>
        </is>
      </c>
      <c r="D191" s="1" t="n">
        <v>45988</v>
      </c>
      <c r="E191" s="1" t="n">
        <v>46260</v>
      </c>
      <c r="F191" t="inlineStr">
        <is>
          <t>BLEKINGE LÄN</t>
        </is>
      </c>
      <c r="G191" t="inlineStr">
        <is>
          <t>OLOFSTRÖM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10717-2022</t>
        </is>
      </c>
      <c r="B192" t="inlineStr">
        <is>
          <t>avverkningsanmälan</t>
        </is>
      </c>
      <c r="C192" t="inlineStr">
        <is>
          <t>Avverkning för annat ändamål</t>
        </is>
      </c>
      <c r="D192" s="1" t="n">
        <v>44626</v>
      </c>
      <c r="E192" s="1" t="n">
        <v>46260</v>
      </c>
      <c r="F192" t="inlineStr">
        <is>
          <t>BLEKINGE LÄN</t>
        </is>
      </c>
      <c r="G192" t="inlineStr">
        <is>
          <t>OLOFSTRÖM</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63441-2023</t>
        </is>
      </c>
      <c r="B193" t="inlineStr">
        <is>
          <t>avverkningsanmälan</t>
        </is>
      </c>
      <c r="C193" t="inlineStr">
        <is>
          <t>Föryngringsavverkning</t>
        </is>
      </c>
      <c r="D193" s="1" t="n">
        <v>45274</v>
      </c>
      <c r="E193" s="1" t="n">
        <v>46260</v>
      </c>
      <c r="F193" t="inlineStr">
        <is>
          <t>BLEKINGE LÄN</t>
        </is>
      </c>
      <c r="G193" t="inlineStr">
        <is>
          <t>OLOFSTRÖM</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49704-2021</t>
        </is>
      </c>
      <c r="B194" t="inlineStr">
        <is>
          <t>avverkningsanmälan</t>
        </is>
      </c>
      <c r="C194" t="inlineStr">
        <is>
          <t>Föryngringsavverkning</t>
        </is>
      </c>
      <c r="D194" s="1" t="n">
        <v>44455</v>
      </c>
      <c r="E194" s="1" t="n">
        <v>46260</v>
      </c>
      <c r="F194" t="inlineStr">
        <is>
          <t>BLEKINGE LÄN</t>
        </is>
      </c>
      <c r="G194" t="inlineStr">
        <is>
          <t>OLOFSTRÖM</t>
        </is>
      </c>
      <c r="I194" t="n">
        <v>8.199999999999999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39876-2023</t>
        </is>
      </c>
      <c r="B195" t="inlineStr">
        <is>
          <t>avverkningsanmälan</t>
        </is>
      </c>
      <c r="C195" t="inlineStr">
        <is>
          <t>Föryngringsavverkning</t>
        </is>
      </c>
      <c r="D195" s="1" t="n">
        <v>45166</v>
      </c>
      <c r="E195" s="1" t="n">
        <v>46260</v>
      </c>
      <c r="F195" t="inlineStr">
        <is>
          <t>BLEKINGE LÄN</t>
        </is>
      </c>
      <c r="G195" t="inlineStr">
        <is>
          <t>OLOFSTRÖM</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50412-2022</t>
        </is>
      </c>
      <c r="B196" t="inlineStr">
        <is>
          <t>avverkningsanmälan</t>
        </is>
      </c>
      <c r="C196" t="inlineStr">
        <is>
          <t>Föryngringsavverkning</t>
        </is>
      </c>
      <c r="D196" s="1" t="n">
        <v>44866</v>
      </c>
      <c r="E196" s="1" t="n">
        <v>46260</v>
      </c>
      <c r="F196" t="inlineStr">
        <is>
          <t>BLEKINGE LÄN</t>
        </is>
      </c>
      <c r="G196" t="inlineStr">
        <is>
          <t>OLOFSTRÖM</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14437-2023</t>
        </is>
      </c>
      <c r="B197" t="inlineStr">
        <is>
          <t>avverkningsanmälan</t>
        </is>
      </c>
      <c r="C197" t="inlineStr">
        <is>
          <t>Föryngringsavverkning</t>
        </is>
      </c>
      <c r="D197" s="1" t="n">
        <v>45012</v>
      </c>
      <c r="E197" s="1" t="n">
        <v>46260</v>
      </c>
      <c r="F197" t="inlineStr">
        <is>
          <t>BLEKINGE LÄN</t>
        </is>
      </c>
      <c r="G197" t="inlineStr">
        <is>
          <t>OLOFSTRÖM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21048-2022</t>
        </is>
      </c>
      <c r="B198" t="inlineStr">
        <is>
          <t>avverkningsanmälan</t>
        </is>
      </c>
      <c r="C198" t="inlineStr">
        <is>
          <t>Föryngringsavverkning</t>
        </is>
      </c>
      <c r="D198" s="1" t="n">
        <v>44704</v>
      </c>
      <c r="E198" s="1" t="n">
        <v>46260</v>
      </c>
      <c r="F198" t="inlineStr">
        <is>
          <t>BLEKINGE LÄN</t>
        </is>
      </c>
      <c r="G198" t="inlineStr">
        <is>
          <t>OLOFSTRÖM</t>
        </is>
      </c>
      <c r="H198" t="inlineStr">
        <is>
          <t>Övriga Aktiebolag</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11062-2025</t>
        </is>
      </c>
      <c r="B199" t="inlineStr">
        <is>
          <t>avverkningsanmälan</t>
        </is>
      </c>
      <c r="C199" t="inlineStr">
        <is>
          <t>Föryngringsavverkning</t>
        </is>
      </c>
      <c r="D199" s="1" t="n">
        <v>45723</v>
      </c>
      <c r="E199" s="1" t="n">
        <v>46260</v>
      </c>
      <c r="F199" t="inlineStr">
        <is>
          <t>BLEKINGE LÄN</t>
        </is>
      </c>
      <c r="G199" t="inlineStr">
        <is>
          <t>OLOFSTRÖM</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48535-2025</t>
        </is>
      </c>
      <c r="B200" t="inlineStr">
        <is>
          <t>avverkningsanmälan</t>
        </is>
      </c>
      <c r="C200" t="inlineStr">
        <is>
          <t>Föryngringsavverkning</t>
        </is>
      </c>
      <c r="D200" s="1" t="n">
        <v>45936</v>
      </c>
      <c r="E200" s="1" t="n">
        <v>46260</v>
      </c>
      <c r="F200" t="inlineStr">
        <is>
          <t>BLEKINGE LÄN</t>
        </is>
      </c>
      <c r="G200" t="inlineStr">
        <is>
          <t>OLOFSTRÖM</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39520-2024</t>
        </is>
      </c>
      <c r="B201" t="inlineStr">
        <is>
          <t>avverkningsanmälan</t>
        </is>
      </c>
      <c r="C201" t="inlineStr">
        <is>
          <t>Föryngringsavverkning</t>
        </is>
      </c>
      <c r="D201" s="1" t="n">
        <v>45551</v>
      </c>
      <c r="E201" s="1" t="n">
        <v>46260</v>
      </c>
      <c r="F201" t="inlineStr">
        <is>
          <t>BLEKINGE LÄN</t>
        </is>
      </c>
      <c r="G201" t="inlineStr">
        <is>
          <t>OLOFSTRÖM</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1028-2023</t>
        </is>
      </c>
      <c r="B202" t="inlineStr">
        <is>
          <t>avverkningsanmälan</t>
        </is>
      </c>
      <c r="C202" t="inlineStr">
        <is>
          <t>Föryngringsavverkning</t>
        </is>
      </c>
      <c r="D202" s="1" t="n">
        <v>44935</v>
      </c>
      <c r="E202" s="1" t="n">
        <v>46260</v>
      </c>
      <c r="F202" t="inlineStr">
        <is>
          <t>BLEKINGE LÄN</t>
        </is>
      </c>
      <c r="G202" t="inlineStr">
        <is>
          <t>OLOFSTRÖM</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11122-2024</t>
        </is>
      </c>
      <c r="B203" t="inlineStr">
        <is>
          <t>avverkningsanmälan</t>
        </is>
      </c>
      <c r="C203" t="inlineStr">
        <is>
          <t>Föryngringsavverkning</t>
        </is>
      </c>
      <c r="D203" s="1" t="n">
        <v>45371</v>
      </c>
      <c r="E203" s="1" t="n">
        <v>46260</v>
      </c>
      <c r="F203" t="inlineStr">
        <is>
          <t>BLEKINGE LÄN</t>
        </is>
      </c>
      <c r="G203" t="inlineStr">
        <is>
          <t>OLOFSTRÖM</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30823-2024</t>
        </is>
      </c>
      <c r="B204" t="inlineStr">
        <is>
          <t>avverkningsanmälan</t>
        </is>
      </c>
      <c r="C204" t="inlineStr">
        <is>
          <t>Avverkning för annat ändamål</t>
        </is>
      </c>
      <c r="D204" s="1" t="n">
        <v>45497</v>
      </c>
      <c r="E204" s="1" t="n">
        <v>46260</v>
      </c>
      <c r="F204" t="inlineStr">
        <is>
          <t>BLEKINGE LÄN</t>
        </is>
      </c>
      <c r="G204" t="inlineStr">
        <is>
          <t>OLOFSTRÖM</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23782-2025</t>
        </is>
      </c>
      <c r="B205" t="inlineStr">
        <is>
          <t>avverkningsanmälan</t>
        </is>
      </c>
      <c r="C205" t="inlineStr">
        <is>
          <t>Föryngringsavverkning</t>
        </is>
      </c>
      <c r="D205" s="1" t="n">
        <v>45793</v>
      </c>
      <c r="E205" s="1" t="n">
        <v>46260</v>
      </c>
      <c r="F205" t="inlineStr">
        <is>
          <t>BLEKINGE LÄN</t>
        </is>
      </c>
      <c r="G205" t="inlineStr">
        <is>
          <t>OLOFSTRÖM</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28249-2025</t>
        </is>
      </c>
      <c r="B206" t="inlineStr">
        <is>
          <t>avverkningsanmälan</t>
        </is>
      </c>
      <c r="C206" t="inlineStr">
        <is>
          <t>Föryngringsavverkning</t>
        </is>
      </c>
      <c r="D206" s="1" t="n">
        <v>45818</v>
      </c>
      <c r="E206" s="1" t="n">
        <v>46260</v>
      </c>
      <c r="F206" t="inlineStr">
        <is>
          <t>BLEKINGE LÄN</t>
        </is>
      </c>
      <c r="G206" t="inlineStr">
        <is>
          <t>OLOFSTRÖM</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7862-2025</t>
        </is>
      </c>
      <c r="B207" t="inlineStr">
        <is>
          <t>avverkningsanmälan</t>
        </is>
      </c>
      <c r="C207" t="inlineStr">
        <is>
          <t>Föryngringsavverkning</t>
        </is>
      </c>
      <c r="D207" s="1" t="n">
        <v>45706</v>
      </c>
      <c r="E207" s="1" t="n">
        <v>46260</v>
      </c>
      <c r="F207" t="inlineStr">
        <is>
          <t>BLEKINGE LÄN</t>
        </is>
      </c>
      <c r="G207" t="inlineStr">
        <is>
          <t>OLOFSTRÖM</t>
        </is>
      </c>
      <c r="I207" t="n">
        <v>5.8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63560-2025</t>
        </is>
      </c>
      <c r="B208" t="inlineStr">
        <is>
          <t>avverkningsanmälan</t>
        </is>
      </c>
      <c r="C208" t="inlineStr">
        <is>
          <t>Föryngringsavverkning</t>
        </is>
      </c>
      <c r="D208" s="1" t="n">
        <v>46013</v>
      </c>
      <c r="E208" s="1" t="n">
        <v>46260</v>
      </c>
      <c r="F208" t="inlineStr">
        <is>
          <t>BLEKINGE LÄN</t>
        </is>
      </c>
      <c r="G208" t="inlineStr">
        <is>
          <t>OLOFSTRÖM</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33664-2024</t>
        </is>
      </c>
      <c r="B209" t="inlineStr">
        <is>
          <t>avverkningsanmälan</t>
        </is>
      </c>
      <c r="C209" t="inlineStr">
        <is>
          <t>Föryngringsavverkning</t>
        </is>
      </c>
      <c r="D209" s="1" t="n">
        <v>45520</v>
      </c>
      <c r="E209" s="1" t="n">
        <v>46260</v>
      </c>
      <c r="F209" t="inlineStr">
        <is>
          <t>BLEKINGE LÄN</t>
        </is>
      </c>
      <c r="G209" t="inlineStr">
        <is>
          <t>OLOFSTRÖM</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33673-2024</t>
        </is>
      </c>
      <c r="B210" t="inlineStr">
        <is>
          <t>avverkningsanmälan</t>
        </is>
      </c>
      <c r="C210" t="inlineStr">
        <is>
          <t>Föryngringsavverkning</t>
        </is>
      </c>
      <c r="D210" s="1" t="n">
        <v>45520</v>
      </c>
      <c r="E210" s="1" t="n">
        <v>46260</v>
      </c>
      <c r="F210" t="inlineStr">
        <is>
          <t>BLEKINGE LÄN</t>
        </is>
      </c>
      <c r="G210" t="inlineStr">
        <is>
          <t>OLOFSTRÖM</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61934-2025</t>
        </is>
      </c>
      <c r="B211" t="inlineStr">
        <is>
          <t>avverkningsanmälan</t>
        </is>
      </c>
      <c r="C211" t="inlineStr">
        <is>
          <t>Föryngringsavverkning</t>
        </is>
      </c>
      <c r="D211" s="1" t="n">
        <v>46003</v>
      </c>
      <c r="E211" s="1" t="n">
        <v>46260</v>
      </c>
      <c r="F211" t="inlineStr">
        <is>
          <t>BLEKINGE LÄN</t>
        </is>
      </c>
      <c r="G211" t="inlineStr">
        <is>
          <t>OLOFSTRÖM</t>
        </is>
      </c>
      <c r="I211" t="n">
        <v>8.9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49056-2024</t>
        </is>
      </c>
      <c r="B212" t="inlineStr">
        <is>
          <t>avverkningsanmälan</t>
        </is>
      </c>
      <c r="C212" t="inlineStr">
        <is>
          <t>Föryngringsavverkning</t>
        </is>
      </c>
      <c r="D212" s="1" t="n">
        <v>45594</v>
      </c>
      <c r="E212" s="1" t="n">
        <v>46260</v>
      </c>
      <c r="F212" t="inlineStr">
        <is>
          <t>BLEKINGE LÄN</t>
        </is>
      </c>
      <c r="G212" t="inlineStr">
        <is>
          <t>OLOFSTRÖM</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56612-2025</t>
        </is>
      </c>
      <c r="B213" t="inlineStr">
        <is>
          <t>avverkningsanmälan</t>
        </is>
      </c>
      <c r="C213" t="inlineStr">
        <is>
          <t>Föryngringsavverkning</t>
        </is>
      </c>
      <c r="D213" s="1" t="n">
        <v>45975</v>
      </c>
      <c r="E213" s="1" t="n">
        <v>46260</v>
      </c>
      <c r="F213" t="inlineStr">
        <is>
          <t>BLEKINGE LÄN</t>
        </is>
      </c>
      <c r="G213" t="inlineStr">
        <is>
          <t>OLOFSTRÖM</t>
        </is>
      </c>
      <c r="I213" t="n">
        <v>11.7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21013-2026</t>
        </is>
      </c>
      <c r="B214" t="inlineStr">
        <is>
          <t>avverkningsanmälan</t>
        </is>
      </c>
      <c r="C214" t="inlineStr">
        <is>
          <t>Föryngringsavverkning</t>
        </is>
      </c>
      <c r="D214" s="1" t="n">
        <v>46143</v>
      </c>
      <c r="E214" s="1" t="n">
        <v>46260</v>
      </c>
      <c r="F214" t="inlineStr">
        <is>
          <t>BLEKINGE LÄN</t>
        </is>
      </c>
      <c r="G214" t="inlineStr">
        <is>
          <t>OLOFSTRÖM</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45772-2023</t>
        </is>
      </c>
      <c r="B215" t="inlineStr">
        <is>
          <t>avverkningsanmälan</t>
        </is>
      </c>
      <c r="C215" t="inlineStr">
        <is>
          <t>Föryngringsavverkning</t>
        </is>
      </c>
      <c r="D215" s="1" t="n">
        <v>45195</v>
      </c>
      <c r="E215" s="1" t="n">
        <v>46260</v>
      </c>
      <c r="F215" t="inlineStr">
        <is>
          <t>BLEKINGE LÄN</t>
        </is>
      </c>
      <c r="G215" t="inlineStr">
        <is>
          <t>OLOFSTRÖM</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247-2026</t>
        </is>
      </c>
      <c r="B216" t="inlineStr">
        <is>
          <t>avverkningsanmälan</t>
        </is>
      </c>
      <c r="C216" t="inlineStr">
        <is>
          <t>Föryngringsavverkning</t>
        </is>
      </c>
      <c r="D216" s="1" t="n">
        <v>46027</v>
      </c>
      <c r="E216" s="1" t="n">
        <v>46260</v>
      </c>
      <c r="F216" t="inlineStr">
        <is>
          <t>BLEKINGE LÄN</t>
        </is>
      </c>
      <c r="G216" t="inlineStr">
        <is>
          <t>OLOFSTRÖM</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248-2026</t>
        </is>
      </c>
      <c r="B217" t="inlineStr">
        <is>
          <t>avverkningsanmälan</t>
        </is>
      </c>
      <c r="C217" t="inlineStr">
        <is>
          <t>Föryngringsavverkning</t>
        </is>
      </c>
      <c r="D217" s="1" t="n">
        <v>46027</v>
      </c>
      <c r="E217" s="1" t="n">
        <v>46260</v>
      </c>
      <c r="F217" t="inlineStr">
        <is>
          <t>BLEKINGE LÄN</t>
        </is>
      </c>
      <c r="G217" t="inlineStr">
        <is>
          <t>OLOFSTRÖM</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49052-2024</t>
        </is>
      </c>
      <c r="B218" t="inlineStr">
        <is>
          <t>avverkningsanmälan</t>
        </is>
      </c>
      <c r="C218" t="inlineStr">
        <is>
          <t>Föryngringsavverkning</t>
        </is>
      </c>
      <c r="D218" s="1" t="n">
        <v>45594</v>
      </c>
      <c r="E218" s="1" t="n">
        <v>46260</v>
      </c>
      <c r="F218" t="inlineStr">
        <is>
          <t>BLEKINGE LÄN</t>
        </is>
      </c>
      <c r="G218" t="inlineStr">
        <is>
          <t>OLOFSTRÖM</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242-2026</t>
        </is>
      </c>
      <c r="B219" t="inlineStr">
        <is>
          <t>avverkningsanmälan</t>
        </is>
      </c>
      <c r="C219" t="inlineStr">
        <is>
          <t>Föryngringsavverkning</t>
        </is>
      </c>
      <c r="D219" s="1" t="n">
        <v>46027</v>
      </c>
      <c r="E219" s="1" t="n">
        <v>46260</v>
      </c>
      <c r="F219" t="inlineStr">
        <is>
          <t>BLEKINGE LÄN</t>
        </is>
      </c>
      <c r="G219" t="inlineStr">
        <is>
          <t>OLOFSTRÖM</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34163-2022</t>
        </is>
      </c>
      <c r="B220" t="inlineStr">
        <is>
          <t>avverkningsanmälan</t>
        </is>
      </c>
      <c r="C220" t="inlineStr">
        <is>
          <t>Avverkning för annat ändamål</t>
        </is>
      </c>
      <c r="D220" s="1" t="n">
        <v>44791</v>
      </c>
      <c r="E220" s="1" t="n">
        <v>46260</v>
      </c>
      <c r="F220" t="inlineStr">
        <is>
          <t>BLEKINGE LÄN</t>
        </is>
      </c>
      <c r="G220" t="inlineStr">
        <is>
          <t>OLOFSTRÖM</t>
        </is>
      </c>
      <c r="H220" t="inlineStr">
        <is>
          <t>Kommuner</t>
        </is>
      </c>
      <c r="I220" t="n">
        <v>8.300000000000001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16318-2024</t>
        </is>
      </c>
      <c r="B221" t="inlineStr">
        <is>
          <t>avverkningsanmälan</t>
        </is>
      </c>
      <c r="C221" t="inlineStr">
        <is>
          <t>Föryngringsavverkning</t>
        </is>
      </c>
      <c r="D221" s="1" t="n">
        <v>45407</v>
      </c>
      <c r="E221" s="1" t="n">
        <v>46260</v>
      </c>
      <c r="F221" t="inlineStr">
        <is>
          <t>BLEKINGE LÄN</t>
        </is>
      </c>
      <c r="G221" t="inlineStr">
        <is>
          <t>OLOFSTRÖM</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50870-2024</t>
        </is>
      </c>
      <c r="B222" t="inlineStr">
        <is>
          <t>avverkningsanmälan</t>
        </is>
      </c>
      <c r="C222" t="inlineStr">
        <is>
          <t>Föryngringsavverkning</t>
        </is>
      </c>
      <c r="D222" s="1" t="n">
        <v>45602</v>
      </c>
      <c r="E222" s="1" t="n">
        <v>46260</v>
      </c>
      <c r="F222" t="inlineStr">
        <is>
          <t>BLEKINGE LÄN</t>
        </is>
      </c>
      <c r="G222" t="inlineStr">
        <is>
          <t>OLOFSTRÖM</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38088-2022</t>
        </is>
      </c>
      <c r="B223" t="inlineStr">
        <is>
          <t>avverkningsanmälan</t>
        </is>
      </c>
      <c r="C223" t="inlineStr">
        <is>
          <t>Föryngringsavverkning</t>
        </is>
      </c>
      <c r="D223" s="1" t="n">
        <v>44811</v>
      </c>
      <c r="E223" s="1" t="n">
        <v>46260</v>
      </c>
      <c r="F223" t="inlineStr">
        <is>
          <t>BLEKINGE LÄN</t>
        </is>
      </c>
      <c r="G223" t="inlineStr">
        <is>
          <t>OLOFSTRÖM</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13660-2023</t>
        </is>
      </c>
      <c r="B224" t="inlineStr">
        <is>
          <t>avverkningsanmälan</t>
        </is>
      </c>
      <c r="C224" t="inlineStr">
        <is>
          <t>Föryngringsavverkning</t>
        </is>
      </c>
      <c r="D224" s="1" t="n">
        <v>45006</v>
      </c>
      <c r="E224" s="1" t="n">
        <v>46260</v>
      </c>
      <c r="F224" t="inlineStr">
        <is>
          <t>BLEKINGE LÄN</t>
        </is>
      </c>
      <c r="G224" t="inlineStr">
        <is>
          <t>OLOFSTRÖM</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30657-2023</t>
        </is>
      </c>
      <c r="B225" t="inlineStr">
        <is>
          <t>avverkningsanmälan</t>
        </is>
      </c>
      <c r="C225" t="inlineStr">
        <is>
          <t>Föryngringsavverkning</t>
        </is>
      </c>
      <c r="D225" s="1" t="n">
        <v>45112</v>
      </c>
      <c r="E225" s="1" t="n">
        <v>46260</v>
      </c>
      <c r="F225" t="inlineStr">
        <is>
          <t>BLEKINGE LÄN</t>
        </is>
      </c>
      <c r="G225" t="inlineStr">
        <is>
          <t>OLOFSTRÖM</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62728-2023</t>
        </is>
      </c>
      <c r="B226" t="inlineStr">
        <is>
          <t>avverkningsanmälan</t>
        </is>
      </c>
      <c r="C226" t="inlineStr">
        <is>
          <t>Föryngringsavverkning</t>
        </is>
      </c>
      <c r="D226" s="1" t="n">
        <v>45268</v>
      </c>
      <c r="E226" s="1" t="n">
        <v>46260</v>
      </c>
      <c r="F226" t="inlineStr">
        <is>
          <t>BLEKINGE LÄN</t>
        </is>
      </c>
      <c r="G226" t="inlineStr">
        <is>
          <t>OLOFSTRÖM</t>
        </is>
      </c>
      <c r="H226" t="inlineStr">
        <is>
          <t>Övriga Aktiebolag</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444-2023</t>
        </is>
      </c>
      <c r="B227" t="inlineStr">
        <is>
          <t>avverkningsanmälan</t>
        </is>
      </c>
      <c r="C227" t="inlineStr">
        <is>
          <t>Föryngringsavverkning</t>
        </is>
      </c>
      <c r="D227" s="1" t="n">
        <v>44929</v>
      </c>
      <c r="E227" s="1" t="n">
        <v>46260</v>
      </c>
      <c r="F227" t="inlineStr">
        <is>
          <t>BLEKINGE LÄN</t>
        </is>
      </c>
      <c r="G227" t="inlineStr">
        <is>
          <t>OLOFSTRÖM</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6523-2024</t>
        </is>
      </c>
      <c r="B228" t="inlineStr">
        <is>
          <t>avverkningsanmälan</t>
        </is>
      </c>
      <c r="C228" t="inlineStr">
        <is>
          <t>Föryngringsavverkning</t>
        </is>
      </c>
      <c r="D228" s="1" t="n">
        <v>45341</v>
      </c>
      <c r="E228" s="1" t="n">
        <v>46260</v>
      </c>
      <c r="F228" t="inlineStr">
        <is>
          <t>BLEKINGE LÄN</t>
        </is>
      </c>
      <c r="G228" t="inlineStr">
        <is>
          <t>OLOFSTRÖM</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34903-2025</t>
        </is>
      </c>
      <c r="B229" t="inlineStr">
        <is>
          <t>avverkningsanmälan</t>
        </is>
      </c>
      <c r="C229" t="inlineStr">
        <is>
          <t>Föryngringsavverkning</t>
        </is>
      </c>
      <c r="D229" s="1" t="n">
        <v>45849</v>
      </c>
      <c r="E229" s="1" t="n">
        <v>46260</v>
      </c>
      <c r="F229" t="inlineStr">
        <is>
          <t>BLEKINGE LÄN</t>
        </is>
      </c>
      <c r="G229" t="inlineStr">
        <is>
          <t>OLOFSTRÖM</t>
        </is>
      </c>
      <c r="H229" t="inlineStr">
        <is>
          <t>Övriga Aktiebolag</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39050-2024</t>
        </is>
      </c>
      <c r="B230" t="inlineStr">
        <is>
          <t>avverkningsanmälan</t>
        </is>
      </c>
      <c r="C230" t="inlineStr">
        <is>
          <t>Föryngringsavverkning</t>
        </is>
      </c>
      <c r="D230" s="1" t="n">
        <v>45548</v>
      </c>
      <c r="E230" s="1" t="n">
        <v>46260</v>
      </c>
      <c r="F230" t="inlineStr">
        <is>
          <t>BLEKINGE LÄN</t>
        </is>
      </c>
      <c r="G230" t="inlineStr">
        <is>
          <t>OLOFSTRÖM</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39077-2024</t>
        </is>
      </c>
      <c r="B231" t="inlineStr">
        <is>
          <t>avverkningsanmälan</t>
        </is>
      </c>
      <c r="C231" t="inlineStr">
        <is>
          <t>Föryngringsavverkning</t>
        </is>
      </c>
      <c r="D231" s="1" t="n">
        <v>45548</v>
      </c>
      <c r="E231" s="1" t="n">
        <v>46260</v>
      </c>
      <c r="F231" t="inlineStr">
        <is>
          <t>BLEKINGE LÄN</t>
        </is>
      </c>
      <c r="G231" t="inlineStr">
        <is>
          <t>OLOFSTRÖM</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35097-2025</t>
        </is>
      </c>
      <c r="B232" t="inlineStr">
        <is>
          <t>avverkningsanmälan</t>
        </is>
      </c>
      <c r="C232" t="inlineStr">
        <is>
          <t>Föryngringsavverkning</t>
        </is>
      </c>
      <c r="D232" s="1" t="n">
        <v>45852</v>
      </c>
      <c r="E232" s="1" t="n">
        <v>46260</v>
      </c>
      <c r="F232" t="inlineStr">
        <is>
          <t>BLEKINGE LÄN</t>
        </is>
      </c>
      <c r="G232" t="inlineStr">
        <is>
          <t>OLOFSTRÖM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14311-2023</t>
        </is>
      </c>
      <c r="B233" t="inlineStr">
        <is>
          <t>avverkningsanmälan</t>
        </is>
      </c>
      <c r="C233" t="inlineStr">
        <is>
          <t>Föryngringsavverkning</t>
        </is>
      </c>
      <c r="D233" s="1" t="n">
        <v>45011</v>
      </c>
      <c r="E233" s="1" t="n">
        <v>46260</v>
      </c>
      <c r="F233" t="inlineStr">
        <is>
          <t>BLEKINGE LÄN</t>
        </is>
      </c>
      <c r="G233" t="inlineStr">
        <is>
          <t>OLOFSTRÖM</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42635-2024</t>
        </is>
      </c>
      <c r="B234" t="inlineStr">
        <is>
          <t>avverkningsanmälan</t>
        </is>
      </c>
      <c r="C234" t="inlineStr">
        <is>
          <t>Föryngringsavverkning</t>
        </is>
      </c>
      <c r="D234" s="1" t="n">
        <v>45565</v>
      </c>
      <c r="E234" s="1" t="n">
        <v>46260</v>
      </c>
      <c r="F234" t="inlineStr">
        <is>
          <t>BLEKINGE LÄN</t>
        </is>
      </c>
      <c r="G234" t="inlineStr">
        <is>
          <t>OLOFSTRÖM</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55421-2023</t>
        </is>
      </c>
      <c r="B235" t="inlineStr">
        <is>
          <t>avverkningsanmälan</t>
        </is>
      </c>
      <c r="C235" t="inlineStr">
        <is>
          <t>Föryngringsavverkning</t>
        </is>
      </c>
      <c r="D235" s="1" t="n">
        <v>45238</v>
      </c>
      <c r="E235" s="1" t="n">
        <v>46260</v>
      </c>
      <c r="F235" t="inlineStr">
        <is>
          <t>BLEKINGE LÄN</t>
        </is>
      </c>
      <c r="G235" t="inlineStr">
        <is>
          <t>OLOFSTRÖM</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53418-2022</t>
        </is>
      </c>
      <c r="B236" t="inlineStr">
        <is>
          <t>avverkningsanmälan</t>
        </is>
      </c>
      <c r="C236" t="inlineStr">
        <is>
          <t>Föryngringsavverkning</t>
        </is>
      </c>
      <c r="D236" s="1" t="n">
        <v>44879</v>
      </c>
      <c r="E236" s="1" t="n">
        <v>46260</v>
      </c>
      <c r="F236" t="inlineStr">
        <is>
          <t>BLEKINGE LÄN</t>
        </is>
      </c>
      <c r="G236" t="inlineStr">
        <is>
          <t>OLOFSTRÖM</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58305-2023</t>
        </is>
      </c>
      <c r="B237" t="inlineStr">
        <is>
          <t>avverkningsanmälan</t>
        </is>
      </c>
      <c r="C237" t="inlineStr">
        <is>
          <t>Föryngringsavverkning</t>
        </is>
      </c>
      <c r="D237" s="1" t="n">
        <v>45245</v>
      </c>
      <c r="E237" s="1" t="n">
        <v>46260</v>
      </c>
      <c r="F237" t="inlineStr">
        <is>
          <t>BLEKINGE LÄN</t>
        </is>
      </c>
      <c r="G237" t="inlineStr">
        <is>
          <t>OLOFSTRÖM</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10327-2025</t>
        </is>
      </c>
      <c r="B238" t="inlineStr">
        <is>
          <t>avverkningsanmälan</t>
        </is>
      </c>
      <c r="C238" t="inlineStr">
        <is>
          <t>Föryngringsavverkning</t>
        </is>
      </c>
      <c r="D238" s="1" t="n">
        <v>45720</v>
      </c>
      <c r="E238" s="1" t="n">
        <v>46260</v>
      </c>
      <c r="F238" t="inlineStr">
        <is>
          <t>BLEKINGE LÄN</t>
        </is>
      </c>
      <c r="G238" t="inlineStr">
        <is>
          <t>OLOFSTRÖM</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24320-2026</t>
        </is>
      </c>
      <c r="B239" t="inlineStr">
        <is>
          <t>avverkningsanmälan</t>
        </is>
      </c>
      <c r="C239" t="inlineStr">
        <is>
          <t>Föryngringsavverkning</t>
        </is>
      </c>
      <c r="D239" s="1" t="n">
        <v>46169</v>
      </c>
      <c r="E239" s="1" t="n">
        <v>46260</v>
      </c>
      <c r="F239" t="inlineStr">
        <is>
          <t>BLEKINGE LÄN</t>
        </is>
      </c>
      <c r="G239" t="inlineStr">
        <is>
          <t>OLOFSTRÖM</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62666-2023</t>
        </is>
      </c>
      <c r="B240" t="inlineStr">
        <is>
          <t>avverkningsanmälan</t>
        </is>
      </c>
      <c r="C240" t="inlineStr">
        <is>
          <t>Föryngringsavverkning</t>
        </is>
      </c>
      <c r="D240" s="1" t="n">
        <v>45271</v>
      </c>
      <c r="E240" s="1" t="n">
        <v>46260</v>
      </c>
      <c r="F240" t="inlineStr">
        <is>
          <t>BLEKINGE LÄN</t>
        </is>
      </c>
      <c r="G240" t="inlineStr">
        <is>
          <t>OLOFSTRÖM</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62672-2023</t>
        </is>
      </c>
      <c r="B241" t="inlineStr">
        <is>
          <t>avverkningsanmälan</t>
        </is>
      </c>
      <c r="C241" t="inlineStr">
        <is>
          <t>Föryngringsavverkning</t>
        </is>
      </c>
      <c r="D241" s="1" t="n">
        <v>45271</v>
      </c>
      <c r="E241" s="1" t="n">
        <v>46260</v>
      </c>
      <c r="F241" t="inlineStr">
        <is>
          <t>BLEKINGE LÄN</t>
        </is>
      </c>
      <c r="G241" t="inlineStr">
        <is>
          <t>OLOFSTRÖM</t>
        </is>
      </c>
      <c r="I241" t="n">
        <v>8.199999999999999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62744-2023</t>
        </is>
      </c>
      <c r="B242" t="inlineStr">
        <is>
          <t>avverkningsanmälan</t>
        </is>
      </c>
      <c r="C242" t="inlineStr">
        <is>
          <t>Föryngringsavverkning</t>
        </is>
      </c>
      <c r="D242" s="1" t="n">
        <v>45268</v>
      </c>
      <c r="E242" s="1" t="n">
        <v>46260</v>
      </c>
      <c r="F242" t="inlineStr">
        <is>
          <t>BLEKINGE LÄN</t>
        </is>
      </c>
      <c r="G242" t="inlineStr">
        <is>
          <t>OLOFSTRÖM</t>
        </is>
      </c>
      <c r="H242" t="inlineStr">
        <is>
          <t>Övriga Aktiebolag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62758-2023</t>
        </is>
      </c>
      <c r="B243" t="inlineStr">
        <is>
          <t>avverkningsanmälan</t>
        </is>
      </c>
      <c r="C243" t="inlineStr">
        <is>
          <t>Föryngringsavverkning</t>
        </is>
      </c>
      <c r="D243" s="1" t="n">
        <v>45268</v>
      </c>
      <c r="E243" s="1" t="n">
        <v>46260</v>
      </c>
      <c r="F243" t="inlineStr">
        <is>
          <t>BLEKINGE LÄN</t>
        </is>
      </c>
      <c r="G243" t="inlineStr">
        <is>
          <t>OLOFSTRÖM</t>
        </is>
      </c>
      <c r="H243" t="inlineStr">
        <is>
          <t>Övriga Aktiebolag</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6649-2025</t>
        </is>
      </c>
      <c r="B244" t="inlineStr">
        <is>
          <t>avverkningsanmälan</t>
        </is>
      </c>
      <c r="C244" t="inlineStr">
        <is>
          <t>Föryngringsavverkning</t>
        </is>
      </c>
      <c r="D244" s="1" t="n">
        <v>45700</v>
      </c>
      <c r="E244" s="1" t="n">
        <v>46260</v>
      </c>
      <c r="F244" t="inlineStr">
        <is>
          <t>BLEKINGE LÄN</t>
        </is>
      </c>
      <c r="G244" t="inlineStr">
        <is>
          <t>OLOFSTRÖM</t>
        </is>
      </c>
      <c r="H244" t="inlineStr">
        <is>
          <t>Kommuner</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69498-2021</t>
        </is>
      </c>
      <c r="B245" t="inlineStr">
        <is>
          <t>avverkningsanmälan</t>
        </is>
      </c>
      <c r="C245" t="inlineStr">
        <is>
          <t>Föryngringsavverkning</t>
        </is>
      </c>
      <c r="D245" s="1" t="n">
        <v>44531</v>
      </c>
      <c r="E245" s="1" t="n">
        <v>46260</v>
      </c>
      <c r="F245" t="inlineStr">
        <is>
          <t>BLEKINGE LÄN</t>
        </is>
      </c>
      <c r="G245" t="inlineStr">
        <is>
          <t>OLOFSTRÖM</t>
        </is>
      </c>
      <c r="H245" t="inlineStr">
        <is>
          <t>Kommuner</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36427-2025</t>
        </is>
      </c>
      <c r="B246" t="inlineStr">
        <is>
          <t>avverkningsanmälan</t>
        </is>
      </c>
      <c r="C246" t="inlineStr">
        <is>
          <t>Föryngringsavverkning</t>
        </is>
      </c>
      <c r="D246" s="1" t="n">
        <v>45868</v>
      </c>
      <c r="E246" s="1" t="n">
        <v>46260</v>
      </c>
      <c r="F246" t="inlineStr">
        <is>
          <t>BLEKINGE LÄN</t>
        </is>
      </c>
      <c r="G246" t="inlineStr">
        <is>
          <t>OLOFSTRÖM</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21090-2022</t>
        </is>
      </c>
      <c r="B247" t="inlineStr">
        <is>
          <t>avverkningsanmälan</t>
        </is>
      </c>
      <c r="C247" t="inlineStr">
        <is>
          <t>Föryngringsavverkning</t>
        </is>
      </c>
      <c r="D247" s="1" t="n">
        <v>44704</v>
      </c>
      <c r="E247" s="1" t="n">
        <v>46260</v>
      </c>
      <c r="F247" t="inlineStr">
        <is>
          <t>BLEKINGE LÄN</t>
        </is>
      </c>
      <c r="G247" t="inlineStr">
        <is>
          <t>OLOFSTRÖM</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63423-2023</t>
        </is>
      </c>
      <c r="B248" t="inlineStr">
        <is>
          <t>avverkningsanmälan</t>
        </is>
      </c>
      <c r="C248" t="inlineStr">
        <is>
          <t>Föryngringsavverkning</t>
        </is>
      </c>
      <c r="D248" s="1" t="n">
        <v>45274</v>
      </c>
      <c r="E248" s="1" t="n">
        <v>46260</v>
      </c>
      <c r="F248" t="inlineStr">
        <is>
          <t>BLEKINGE LÄN</t>
        </is>
      </c>
      <c r="G248" t="inlineStr">
        <is>
          <t>OLOFSTRÖM</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73654-2021</t>
        </is>
      </c>
      <c r="B249" t="inlineStr">
        <is>
          <t>avverkningsanmälan</t>
        </is>
      </c>
      <c r="C249" t="inlineStr">
        <is>
          <t>Föryngringsavverkning</t>
        </is>
      </c>
      <c r="D249" s="1" t="n">
        <v>44552</v>
      </c>
      <c r="E249" s="1" t="n">
        <v>46260</v>
      </c>
      <c r="F249" t="inlineStr">
        <is>
          <t>BLEKINGE LÄN</t>
        </is>
      </c>
      <c r="G249" t="inlineStr">
        <is>
          <t>OLOFSTRÖM</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6296-2025</t>
        </is>
      </c>
      <c r="B250" t="inlineStr">
        <is>
          <t>avverkningsanmälan</t>
        </is>
      </c>
      <c r="C250" t="inlineStr">
        <is>
          <t>Föryngringsavverkning</t>
        </is>
      </c>
      <c r="D250" s="1" t="n">
        <v>45698</v>
      </c>
      <c r="E250" s="1" t="n">
        <v>46260</v>
      </c>
      <c r="F250" t="inlineStr">
        <is>
          <t>BLEKINGE LÄN</t>
        </is>
      </c>
      <c r="G250" t="inlineStr">
        <is>
          <t>OLOFSTRÖM</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39882-2023</t>
        </is>
      </c>
      <c r="B251" t="inlineStr">
        <is>
          <t>avverkningsanmälan</t>
        </is>
      </c>
      <c r="C251" t="inlineStr">
        <is>
          <t>Föryngringsavverkning</t>
        </is>
      </c>
      <c r="D251" s="1" t="n">
        <v>45166</v>
      </c>
      <c r="E251" s="1" t="n">
        <v>46260</v>
      </c>
      <c r="F251" t="inlineStr">
        <is>
          <t>BLEKINGE LÄN</t>
        </is>
      </c>
      <c r="G251" t="inlineStr">
        <is>
          <t>OLOFSTRÖM</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53182-2022</t>
        </is>
      </c>
      <c r="B252" t="inlineStr">
        <is>
          <t>avverkningsanmälan</t>
        </is>
      </c>
      <c r="C252" t="inlineStr">
        <is>
          <t>Föryngringsavverkning</t>
        </is>
      </c>
      <c r="D252" s="1" t="n">
        <v>44876</v>
      </c>
      <c r="E252" s="1" t="n">
        <v>46260</v>
      </c>
      <c r="F252" t="inlineStr">
        <is>
          <t>BLEKINGE LÄN</t>
        </is>
      </c>
      <c r="G252" t="inlineStr">
        <is>
          <t>OLOFSTRÖM</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17532-2023</t>
        </is>
      </c>
      <c r="B253" t="inlineStr">
        <is>
          <t>avverkningsanmälan</t>
        </is>
      </c>
      <c r="C253" t="inlineStr">
        <is>
          <t>Föryngringsavverkning</t>
        </is>
      </c>
      <c r="D253" s="1" t="n">
        <v>45036</v>
      </c>
      <c r="E253" s="1" t="n">
        <v>46260</v>
      </c>
      <c r="F253" t="inlineStr">
        <is>
          <t>BLEKINGE LÄN</t>
        </is>
      </c>
      <c r="G253" t="inlineStr">
        <is>
          <t>OLOFSTRÖM</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49704-2021</t>
        </is>
      </c>
      <c r="B254" t="inlineStr">
        <is>
          <t>avverkningsanmälan</t>
        </is>
      </c>
      <c r="C254" t="inlineStr">
        <is>
          <t>Föryngringsavverkning</t>
        </is>
      </c>
      <c r="D254" s="1" t="n">
        <v>44455</v>
      </c>
      <c r="E254" s="1" t="n">
        <v>46260</v>
      </c>
      <c r="F254" t="inlineStr">
        <is>
          <t>BLEKINGE LÄN</t>
        </is>
      </c>
      <c r="G254" t="inlineStr">
        <is>
          <t>OLOFSTRÖM</t>
        </is>
      </c>
      <c r="I254" t="n">
        <v>8.199999999999999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38729-2025</t>
        </is>
      </c>
      <c r="B255" t="inlineStr">
        <is>
          <t>avverkningsanmälan</t>
        </is>
      </c>
      <c r="C255" t="inlineStr">
        <is>
          <t>Föryngringsavverkning</t>
        </is>
      </c>
      <c r="D255" s="1" t="n">
        <v>45887</v>
      </c>
      <c r="E255" s="1" t="n">
        <v>46260</v>
      </c>
      <c r="F255" t="inlineStr">
        <is>
          <t>BLEKINGE LÄN</t>
        </is>
      </c>
      <c r="G255" t="inlineStr">
        <is>
          <t>OLOFSTRÖM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14659-2025</t>
        </is>
      </c>
      <c r="B256" t="inlineStr">
        <is>
          <t>avverkningsanmälan</t>
        </is>
      </c>
      <c r="C256" t="inlineStr">
        <is>
          <t>Föryngringsavverkning</t>
        </is>
      </c>
      <c r="D256" s="1" t="n">
        <v>45742</v>
      </c>
      <c r="E256" s="1" t="n">
        <v>46260</v>
      </c>
      <c r="F256" t="inlineStr">
        <is>
          <t>BLEKINGE LÄN</t>
        </is>
      </c>
      <c r="G256" t="inlineStr">
        <is>
          <t>OLOFSTRÖM</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46921-2024</t>
        </is>
      </c>
      <c r="B257" t="inlineStr">
        <is>
          <t>avverkningsanmälan</t>
        </is>
      </c>
      <c r="C257" t="inlineStr">
        <is>
          <t>Föryngringsavverkning</t>
        </is>
      </c>
      <c r="D257" s="1" t="n">
        <v>45583</v>
      </c>
      <c r="E257" s="1" t="n">
        <v>46260</v>
      </c>
      <c r="F257" t="inlineStr">
        <is>
          <t>BLEKINGE LÄN</t>
        </is>
      </c>
      <c r="G257" t="inlineStr">
        <is>
          <t>OLOFSTRÖM</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62734-2023</t>
        </is>
      </c>
      <c r="B258" t="inlineStr">
        <is>
          <t>avverkningsanmälan</t>
        </is>
      </c>
      <c r="C258" t="inlineStr">
        <is>
          <t>Föryngringsavverkning</t>
        </is>
      </c>
      <c r="D258" s="1" t="n">
        <v>45268</v>
      </c>
      <c r="E258" s="1" t="n">
        <v>46260</v>
      </c>
      <c r="F258" t="inlineStr">
        <is>
          <t>BLEKINGE LÄN</t>
        </is>
      </c>
      <c r="G258" t="inlineStr">
        <is>
          <t>OLOFSTRÖM</t>
        </is>
      </c>
      <c r="H258" t="inlineStr">
        <is>
          <t>Övriga Aktiebolag</t>
        </is>
      </c>
      <c r="I258" t="n">
        <v>8.4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11071-2023</t>
        </is>
      </c>
      <c r="B259" t="inlineStr">
        <is>
          <t>avverkningsanmälan</t>
        </is>
      </c>
      <c r="C259" t="inlineStr">
        <is>
          <t>Föryngringsavverkning</t>
        </is>
      </c>
      <c r="D259" s="1" t="n">
        <v>44992</v>
      </c>
      <c r="E259" s="1" t="n">
        <v>46260</v>
      </c>
      <c r="F259" t="inlineStr">
        <is>
          <t>BLEKINGE LÄN</t>
        </is>
      </c>
      <c r="G259" t="inlineStr">
        <is>
          <t>OLOFSTRÖM</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15464-2024</t>
        </is>
      </c>
      <c r="B260" t="inlineStr">
        <is>
          <t>avverkningsanmälan</t>
        </is>
      </c>
      <c r="C260" t="inlineStr">
        <is>
          <t>Föryngringsavverkning</t>
        </is>
      </c>
      <c r="D260" s="1" t="n">
        <v>45401</v>
      </c>
      <c r="E260" s="1" t="n">
        <v>46260</v>
      </c>
      <c r="F260" t="inlineStr">
        <is>
          <t>BLEKINGE LÄN</t>
        </is>
      </c>
      <c r="G260" t="inlineStr">
        <is>
          <t>OLOFSTRÖM</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52067-2022</t>
        </is>
      </c>
      <c r="B261" t="inlineStr">
        <is>
          <t>avverkningsanmälan</t>
        </is>
      </c>
      <c r="C261" t="inlineStr">
        <is>
          <t>Föryngringsavverkning</t>
        </is>
      </c>
      <c r="D261" s="1" t="n">
        <v>44873</v>
      </c>
      <c r="E261" s="1" t="n">
        <v>46260</v>
      </c>
      <c r="F261" t="inlineStr">
        <is>
          <t>BLEKINGE LÄN</t>
        </is>
      </c>
      <c r="G261" t="inlineStr">
        <is>
          <t>OLOFSTRÖM</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49389-2024</t>
        </is>
      </c>
      <c r="B262" t="inlineStr">
        <is>
          <t>avverkningsanmälan</t>
        </is>
      </c>
      <c r="C262" t="inlineStr">
        <is>
          <t>Föryngringsavverkning</t>
        </is>
      </c>
      <c r="D262" s="1" t="n">
        <v>45595</v>
      </c>
      <c r="E262" s="1" t="n">
        <v>46260</v>
      </c>
      <c r="F262" t="inlineStr">
        <is>
          <t>BLEKINGE LÄN</t>
        </is>
      </c>
      <c r="G262" t="inlineStr">
        <is>
          <t>OLOFSTRÖM</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57910-2023</t>
        </is>
      </c>
      <c r="B263" t="inlineStr">
        <is>
          <t>avverkningsanmälan</t>
        </is>
      </c>
      <c r="C263" t="inlineStr">
        <is>
          <t>Föryngringsavverkning</t>
        </is>
      </c>
      <c r="D263" s="1" t="n">
        <v>45247</v>
      </c>
      <c r="E263" s="1" t="n">
        <v>46260</v>
      </c>
      <c r="F263" t="inlineStr">
        <is>
          <t>BLEKINGE LÄN</t>
        </is>
      </c>
      <c r="G263" t="inlineStr">
        <is>
          <t>OLOFSTRÖM</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57915-2023</t>
        </is>
      </c>
      <c r="B264" t="inlineStr">
        <is>
          <t>avverkningsanmälan</t>
        </is>
      </c>
      <c r="C264" t="inlineStr">
        <is>
          <t>Föryngringsavverkning</t>
        </is>
      </c>
      <c r="D264" s="1" t="n">
        <v>45247</v>
      </c>
      <c r="E264" s="1" t="n">
        <v>46260</v>
      </c>
      <c r="F264" t="inlineStr">
        <is>
          <t>BLEKINGE LÄN</t>
        </is>
      </c>
      <c r="G264" t="inlineStr">
        <is>
          <t>OLOFSTRÖM</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3429-2023</t>
        </is>
      </c>
      <c r="B265" t="inlineStr">
        <is>
          <t>avverkningsanmälan</t>
        </is>
      </c>
      <c r="C265" t="inlineStr">
        <is>
          <t>Föryngringsavverkning</t>
        </is>
      </c>
      <c r="D265" s="1" t="n">
        <v>44949</v>
      </c>
      <c r="E265" s="1" t="n">
        <v>46260</v>
      </c>
      <c r="F265" t="inlineStr">
        <is>
          <t>BLEKINGE LÄN</t>
        </is>
      </c>
      <c r="G265" t="inlineStr">
        <is>
          <t>OLOFSTRÖM</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52689-2023</t>
        </is>
      </c>
      <c r="B266" t="inlineStr">
        <is>
          <t>avverkningsanmälan</t>
        </is>
      </c>
      <c r="C266" t="inlineStr">
        <is>
          <t>Föryngringsavverkning</t>
        </is>
      </c>
      <c r="D266" s="1" t="n">
        <v>45225</v>
      </c>
      <c r="E266" s="1" t="n">
        <v>46260</v>
      </c>
      <c r="F266" t="inlineStr">
        <is>
          <t>BLEKINGE LÄN</t>
        </is>
      </c>
      <c r="G266" t="inlineStr">
        <is>
          <t>OLOFSTRÖM</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63392-2023</t>
        </is>
      </c>
      <c r="B267" t="inlineStr">
        <is>
          <t>avverkningsanmälan</t>
        </is>
      </c>
      <c r="C267" t="inlineStr">
        <is>
          <t>Föryngringsavverkning</t>
        </is>
      </c>
      <c r="D267" s="1" t="n">
        <v>45274</v>
      </c>
      <c r="E267" s="1" t="n">
        <v>46260</v>
      </c>
      <c r="F267" t="inlineStr">
        <is>
          <t>BLEKINGE LÄN</t>
        </is>
      </c>
      <c r="G267" t="inlineStr">
        <is>
          <t>OLOFSTRÖM</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63393-2023</t>
        </is>
      </c>
      <c r="B268" t="inlineStr">
        <is>
          <t>avverkningsanmälan</t>
        </is>
      </c>
      <c r="C268" t="inlineStr">
        <is>
          <t>Föryngringsavverkning</t>
        </is>
      </c>
      <c r="D268" s="1" t="n">
        <v>45274</v>
      </c>
      <c r="E268" s="1" t="n">
        <v>46260</v>
      </c>
      <c r="F268" t="inlineStr">
        <is>
          <t>BLEKINGE LÄN</t>
        </is>
      </c>
      <c r="G268" t="inlineStr">
        <is>
          <t>OLOFSTRÖM</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47195-2021</t>
        </is>
      </c>
      <c r="B269" t="inlineStr">
        <is>
          <t>avverkningsanmälan</t>
        </is>
      </c>
      <c r="C269" t="inlineStr">
        <is>
          <t>Avverkning för annat ändamål</t>
        </is>
      </c>
      <c r="D269" s="1" t="n">
        <v>44447</v>
      </c>
      <c r="E269" s="1" t="n">
        <v>46260</v>
      </c>
      <c r="F269" t="inlineStr">
        <is>
          <t>BLEKINGE LÄN</t>
        </is>
      </c>
      <c r="G269" t="inlineStr">
        <is>
          <t>OLOFSTRÖM</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46361-2023</t>
        </is>
      </c>
      <c r="B270" t="inlineStr">
        <is>
          <t>avverkningsanmälan</t>
        </is>
      </c>
      <c r="C270" t="inlineStr">
        <is>
          <t>Föryngringsavverkning</t>
        </is>
      </c>
      <c r="D270" s="1" t="n">
        <v>45197</v>
      </c>
      <c r="E270" s="1" t="n">
        <v>46260</v>
      </c>
      <c r="F270" t="inlineStr">
        <is>
          <t>BLEKINGE LÄN</t>
        </is>
      </c>
      <c r="G270" t="inlineStr">
        <is>
          <t>OLOFSTRÖM</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53459-2021</t>
        </is>
      </c>
      <c r="B271" t="inlineStr">
        <is>
          <t>avverkningsanmälan</t>
        </is>
      </c>
      <c r="C271" t="inlineStr">
        <is>
          <t>Föryngringsavverkning</t>
        </is>
      </c>
      <c r="D271" s="1" t="n">
        <v>44468</v>
      </c>
      <c r="E271" s="1" t="n">
        <v>46260</v>
      </c>
      <c r="F271" t="inlineStr">
        <is>
          <t>BLEKINGE LÄN</t>
        </is>
      </c>
      <c r="G271" t="inlineStr">
        <is>
          <t>OLOFSTRÖM</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49309-2022</t>
        </is>
      </c>
      <c r="B272" t="inlineStr">
        <is>
          <t>avverkningsanmälan</t>
        </is>
      </c>
      <c r="C272" t="inlineStr">
        <is>
          <t>Föryngringsavverkning</t>
        </is>
      </c>
      <c r="D272" s="1" t="n">
        <v>44858</v>
      </c>
      <c r="E272" s="1" t="n">
        <v>46260</v>
      </c>
      <c r="F272" t="inlineStr">
        <is>
          <t>BLEKINGE LÄN</t>
        </is>
      </c>
      <c r="G272" t="inlineStr">
        <is>
          <t>OLOFSTRÖM</t>
        </is>
      </c>
      <c r="I272" t="n">
        <v>20.5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29245-2026</t>
        </is>
      </c>
      <c r="B273" t="inlineStr">
        <is>
          <t>avverkningsanmälan</t>
        </is>
      </c>
      <c r="C273" t="inlineStr">
        <is>
          <t>Föryngringsavverkning</t>
        </is>
      </c>
      <c r="D273" s="1" t="n">
        <v>46202</v>
      </c>
      <c r="E273" s="1" t="n">
        <v>46260</v>
      </c>
      <c r="F273" t="inlineStr">
        <is>
          <t>BLEKINGE LÄN</t>
        </is>
      </c>
      <c r="G273" t="inlineStr">
        <is>
          <t>OLOFSTRÖM</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29250-2026</t>
        </is>
      </c>
      <c r="B274" t="inlineStr">
        <is>
          <t>avverkningsanmälan</t>
        </is>
      </c>
      <c r="C274" t="inlineStr">
        <is>
          <t>Föryngringsavverkning</t>
        </is>
      </c>
      <c r="D274" s="1" t="n">
        <v>46202</v>
      </c>
      <c r="E274" s="1" t="n">
        <v>46260</v>
      </c>
      <c r="F274" t="inlineStr">
        <is>
          <t>BLEKINGE LÄN</t>
        </is>
      </c>
      <c r="G274" t="inlineStr">
        <is>
          <t>OLOFSTRÖM</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65030-2023</t>
        </is>
      </c>
      <c r="B275" t="inlineStr">
        <is>
          <t>avverkningsanmälan</t>
        </is>
      </c>
      <c r="C275" t="inlineStr">
        <is>
          <t>Föryngringsavverkning</t>
        </is>
      </c>
      <c r="D275" s="1" t="n">
        <v>45282</v>
      </c>
      <c r="E275" s="1" t="n">
        <v>46260</v>
      </c>
      <c r="F275" t="inlineStr">
        <is>
          <t>BLEKINGE LÄN</t>
        </is>
      </c>
      <c r="G275" t="inlineStr">
        <is>
          <t>OLOFSTRÖM</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6316-2023</t>
        </is>
      </c>
      <c r="B276" t="inlineStr">
        <is>
          <t>avverkningsanmälan</t>
        </is>
      </c>
      <c r="C276" t="inlineStr">
        <is>
          <t>Föryngringsavverkning</t>
        </is>
      </c>
      <c r="D276" s="1" t="n">
        <v>44965</v>
      </c>
      <c r="E276" s="1" t="n">
        <v>46260</v>
      </c>
      <c r="F276" t="inlineStr">
        <is>
          <t>BLEKINGE LÄN</t>
        </is>
      </c>
      <c r="G276" t="inlineStr">
        <is>
          <t>OLOFSTRÖM</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6318-2023</t>
        </is>
      </c>
      <c r="B277" t="inlineStr">
        <is>
          <t>avverkningsanmälan</t>
        </is>
      </c>
      <c r="C277" t="inlineStr">
        <is>
          <t>Föryngringsavverkning</t>
        </is>
      </c>
      <c r="D277" s="1" t="n">
        <v>44965</v>
      </c>
      <c r="E277" s="1" t="n">
        <v>46260</v>
      </c>
      <c r="F277" t="inlineStr">
        <is>
          <t>BLEKINGE LÄN</t>
        </is>
      </c>
      <c r="G277" t="inlineStr">
        <is>
          <t>OLOFSTRÖM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25908-2023</t>
        </is>
      </c>
      <c r="B278" t="inlineStr">
        <is>
          <t>avverkningsanmälan</t>
        </is>
      </c>
      <c r="C278" t="inlineStr">
        <is>
          <t>Föryngringsavverkning</t>
        </is>
      </c>
      <c r="D278" s="1" t="n">
        <v>45090</v>
      </c>
      <c r="E278" s="1" t="n">
        <v>46260</v>
      </c>
      <c r="F278" t="inlineStr">
        <is>
          <t>BLEKINGE LÄN</t>
        </is>
      </c>
      <c r="G278" t="inlineStr">
        <is>
          <t>OLOFSTRÖM</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13482-2023</t>
        </is>
      </c>
      <c r="B279" t="inlineStr">
        <is>
          <t>avverkningsanmälan</t>
        </is>
      </c>
      <c r="C279" t="inlineStr">
        <is>
          <t>Föryngringsavverkning</t>
        </is>
      </c>
      <c r="D279" s="1" t="n">
        <v>45005</v>
      </c>
      <c r="E279" s="1" t="n">
        <v>46260</v>
      </c>
      <c r="F279" t="inlineStr">
        <is>
          <t>BLEKINGE LÄN</t>
        </is>
      </c>
      <c r="G279" t="inlineStr">
        <is>
          <t>OLOFSTRÖM</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6430-2024</t>
        </is>
      </c>
      <c r="B280" t="inlineStr">
        <is>
          <t>avverkningsanmälan</t>
        </is>
      </c>
      <c r="C280" t="inlineStr">
        <is>
          <t>Föryngringsavverkning</t>
        </is>
      </c>
      <c r="D280" s="1" t="n">
        <v>45338</v>
      </c>
      <c r="E280" s="1" t="n">
        <v>46260</v>
      </c>
      <c r="F280" t="inlineStr">
        <is>
          <t>BLEKINGE LÄN</t>
        </is>
      </c>
      <c r="G280" t="inlineStr">
        <is>
          <t>OLOFSTRÖM</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6439-2024</t>
        </is>
      </c>
      <c r="B281" t="inlineStr">
        <is>
          <t>avverkningsanmälan</t>
        </is>
      </c>
      <c r="C281" t="inlineStr">
        <is>
          <t>Föryngringsavverkning</t>
        </is>
      </c>
      <c r="D281" s="1" t="n">
        <v>45338</v>
      </c>
      <c r="E281" s="1" t="n">
        <v>46260</v>
      </c>
      <c r="F281" t="inlineStr">
        <is>
          <t>BLEKINGE LÄN</t>
        </is>
      </c>
      <c r="G281" t="inlineStr">
        <is>
          <t>OLOFSTRÖM</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6443-2024</t>
        </is>
      </c>
      <c r="B282" t="inlineStr">
        <is>
          <t>avverkningsanmälan</t>
        </is>
      </c>
      <c r="C282" t="inlineStr">
        <is>
          <t>Föryngringsavverkning</t>
        </is>
      </c>
      <c r="D282" s="1" t="n">
        <v>45338</v>
      </c>
      <c r="E282" s="1" t="n">
        <v>46260</v>
      </c>
      <c r="F282" t="inlineStr">
        <is>
          <t>BLEKINGE LÄN</t>
        </is>
      </c>
      <c r="G282" t="inlineStr">
        <is>
          <t>OLOFSTRÖM</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28538-2022</t>
        </is>
      </c>
      <c r="B283" t="inlineStr">
        <is>
          <t>avverkningsanmälan</t>
        </is>
      </c>
      <c r="C283" t="inlineStr">
        <is>
          <t>Föryngringsavverkning</t>
        </is>
      </c>
      <c r="D283" s="1" t="n">
        <v>44748</v>
      </c>
      <c r="E283" s="1" t="n">
        <v>46260</v>
      </c>
      <c r="F283" t="inlineStr">
        <is>
          <t>BLEKINGE LÄN</t>
        </is>
      </c>
      <c r="G283" t="inlineStr">
        <is>
          <t>OLOFSTRÖM</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47264-2023</t>
        </is>
      </c>
      <c r="B284" t="inlineStr">
        <is>
          <t>avverkningsanmälan</t>
        </is>
      </c>
      <c r="C284" t="inlineStr">
        <is>
          <t>Föryngringsavverkning</t>
        </is>
      </c>
      <c r="D284" s="1" t="n">
        <v>45197</v>
      </c>
      <c r="E284" s="1" t="n">
        <v>46260</v>
      </c>
      <c r="F284" t="inlineStr">
        <is>
          <t>BLEKINGE LÄN</t>
        </is>
      </c>
      <c r="G284" t="inlineStr">
        <is>
          <t>OLOFSTRÖM</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7461-2023</t>
        </is>
      </c>
      <c r="B285" t="inlineStr">
        <is>
          <t>avverkningsanmälan</t>
        </is>
      </c>
      <c r="C285" t="inlineStr">
        <is>
          <t>Föryngringsavverkning</t>
        </is>
      </c>
      <c r="D285" s="1" t="n">
        <v>44971</v>
      </c>
      <c r="E285" s="1" t="n">
        <v>46260</v>
      </c>
      <c r="F285" t="inlineStr">
        <is>
          <t>BLEKINGE LÄN</t>
        </is>
      </c>
      <c r="G285" t="inlineStr">
        <is>
          <t>OLOFSTRÖM</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7277-2025</t>
        </is>
      </c>
      <c r="B286" t="inlineStr">
        <is>
          <t>avverkningsanmälan</t>
        </is>
      </c>
      <c r="C286" t="inlineStr">
        <is>
          <t>Föryngringsavverkning</t>
        </is>
      </c>
      <c r="D286" s="1" t="n">
        <v>45701</v>
      </c>
      <c r="E286" s="1" t="n">
        <v>46260</v>
      </c>
      <c r="F286" t="inlineStr">
        <is>
          <t>BLEKINGE LÄN</t>
        </is>
      </c>
      <c r="G286" t="inlineStr">
        <is>
          <t>OLOFSTRÖM</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36875-2022</t>
        </is>
      </c>
      <c r="B287" t="inlineStr">
        <is>
          <t>avverkningsanmälan</t>
        </is>
      </c>
      <c r="C287" t="inlineStr">
        <is>
          <t>Föryngringsavverkning</t>
        </is>
      </c>
      <c r="D287" s="1" t="n">
        <v>44805</v>
      </c>
      <c r="E287" s="1" t="n">
        <v>46260</v>
      </c>
      <c r="F287" t="inlineStr">
        <is>
          <t>BLEKINGE LÄN</t>
        </is>
      </c>
      <c r="G287" t="inlineStr">
        <is>
          <t>OLOFSTRÖM</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70538-2021</t>
        </is>
      </c>
      <c r="B288" t="inlineStr">
        <is>
          <t>avverkningsanmälan</t>
        </is>
      </c>
      <c r="C288" t="inlineStr">
        <is>
          <t>Föryngringsavverkning</t>
        </is>
      </c>
      <c r="D288" s="1" t="n">
        <v>44536</v>
      </c>
      <c r="E288" s="1" t="n">
        <v>46260</v>
      </c>
      <c r="F288" t="inlineStr">
        <is>
          <t>BLEKINGE LÄN</t>
        </is>
      </c>
      <c r="G288" t="inlineStr">
        <is>
          <t>OLOFSTRÖM</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56078-2023</t>
        </is>
      </c>
      <c r="B289" t="inlineStr">
        <is>
          <t>avverkningsanmälan</t>
        </is>
      </c>
      <c r="C289" t="inlineStr">
        <is>
          <t>Föryngringsavverkning</t>
        </is>
      </c>
      <c r="D289" s="1" t="n">
        <v>45233</v>
      </c>
      <c r="E289" s="1" t="n">
        <v>46260</v>
      </c>
      <c r="F289" t="inlineStr">
        <is>
          <t>BLEKINGE LÄN</t>
        </is>
      </c>
      <c r="G289" t="inlineStr">
        <is>
          <t>OLOFSTRÖM</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47825-2024</t>
        </is>
      </c>
      <c r="B290" t="inlineStr">
        <is>
          <t>avverkningsanmälan</t>
        </is>
      </c>
      <c r="C290" t="inlineStr">
        <is>
          <t>Föryngringsavverkning</t>
        </is>
      </c>
      <c r="D290" s="1" t="n">
        <v>45588</v>
      </c>
      <c r="E290" s="1" t="n">
        <v>46260</v>
      </c>
      <c r="F290" t="inlineStr">
        <is>
          <t>BLEKINGE LÄN</t>
        </is>
      </c>
      <c r="G290" t="inlineStr">
        <is>
          <t>OLOFSTRÖM</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6439-2025</t>
        </is>
      </c>
      <c r="B291" t="inlineStr">
        <is>
          <t>avverkningsanmälan</t>
        </is>
      </c>
      <c r="C291" t="inlineStr">
        <is>
          <t>Föryngringsavverkning</t>
        </is>
      </c>
      <c r="D291" s="1" t="n">
        <v>45699</v>
      </c>
      <c r="E291" s="1" t="n">
        <v>46260</v>
      </c>
      <c r="F291" t="inlineStr">
        <is>
          <t>BLEKINGE LÄN</t>
        </is>
      </c>
      <c r="G291" t="inlineStr">
        <is>
          <t>OLOFSTRÖM</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4538-2022</t>
        </is>
      </c>
      <c r="B292" t="inlineStr">
        <is>
          <t>avverkningsanmälan</t>
        </is>
      </c>
      <c r="C292" t="inlineStr">
        <is>
          <t>Föryngringsavverkning</t>
        </is>
      </c>
      <c r="D292" s="1" t="n">
        <v>44590</v>
      </c>
      <c r="E292" s="1" t="n">
        <v>46260</v>
      </c>
      <c r="F292" t="inlineStr">
        <is>
          <t>BLEKINGE LÄN</t>
        </is>
      </c>
      <c r="G292" t="inlineStr">
        <is>
          <t>OLOFSTRÖM</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32351-2023</t>
        </is>
      </c>
      <c r="B293" t="inlineStr">
        <is>
          <t>avverkningsanmälan</t>
        </is>
      </c>
      <c r="C293" t="inlineStr">
        <is>
          <t>Föryngringsavverkning</t>
        </is>
      </c>
      <c r="D293" s="1" t="n">
        <v>45120</v>
      </c>
      <c r="E293" s="1" t="n">
        <v>46260</v>
      </c>
      <c r="F293" t="inlineStr">
        <is>
          <t>BLEKINGE LÄN</t>
        </is>
      </c>
      <c r="G293" t="inlineStr">
        <is>
          <t>OLOFSTRÖM</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34571-2026</t>
        </is>
      </c>
      <c r="B294" t="inlineStr">
        <is>
          <t>avverkningsanmälan</t>
        </is>
      </c>
      <c r="C294" t="inlineStr">
        <is>
          <t>Föryngringsavverkning</t>
        </is>
      </c>
      <c r="D294" s="1" t="n">
        <v>46255</v>
      </c>
      <c r="E294" s="1" t="n">
        <v>46260</v>
      </c>
      <c r="F294" t="inlineStr">
        <is>
          <t>BLEKINGE LÄN</t>
        </is>
      </c>
      <c r="G294" t="inlineStr">
        <is>
          <t>OLOFSTRÖM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34866-2026</t>
        </is>
      </c>
      <c r="B295" t="inlineStr">
        <is>
          <t>avverkningsanmälan</t>
        </is>
      </c>
      <c r="C295" t="inlineStr">
        <is>
          <t>Föryngringsavverkning</t>
        </is>
      </c>
      <c r="D295" s="1" t="n">
        <v>46258</v>
      </c>
      <c r="E295" s="1" t="n">
        <v>46260</v>
      </c>
      <c r="F295" t="inlineStr">
        <is>
          <t>BLEKINGE LÄN</t>
        </is>
      </c>
      <c r="G295" t="inlineStr">
        <is>
          <t>OLOFSTRÖM</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45689-2023</t>
        </is>
      </c>
      <c r="B296" t="inlineStr">
        <is>
          <t>avverkningsanmälan</t>
        </is>
      </c>
      <c r="C296" t="inlineStr">
        <is>
          <t>Föryngringsavverkning</t>
        </is>
      </c>
      <c r="D296" s="1" t="n">
        <v>45195</v>
      </c>
      <c r="E296" s="1" t="n">
        <v>46260</v>
      </c>
      <c r="F296" t="inlineStr">
        <is>
          <t>BLEKINGE LÄN</t>
        </is>
      </c>
      <c r="G296" t="inlineStr">
        <is>
          <t>OLOFSTRÖM</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13765-2026</t>
        </is>
      </c>
      <c r="B297" t="inlineStr">
        <is>
          <t>avverkningsanmälan</t>
        </is>
      </c>
      <c r="C297" t="inlineStr">
        <is>
          <t>Föryngringsavverkning</t>
        </is>
      </c>
      <c r="D297" s="1" t="n">
        <v>46097</v>
      </c>
      <c r="E297" s="1" t="n">
        <v>46260</v>
      </c>
      <c r="F297" t="inlineStr">
        <is>
          <t>BLEKINGE LÄN</t>
        </is>
      </c>
      <c r="G297" t="inlineStr">
        <is>
          <t>OLOFSTRÖM</t>
        </is>
      </c>
      <c r="H297" t="inlineStr">
        <is>
          <t>Övriga Aktiebolag</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46591-2023</t>
        </is>
      </c>
      <c r="B298" t="inlineStr">
        <is>
          <t>avverkningsanmälan</t>
        </is>
      </c>
      <c r="C298" t="inlineStr">
        <is>
          <t>Föryngringsavverkning</t>
        </is>
      </c>
      <c r="D298" s="1" t="n">
        <v>45194</v>
      </c>
      <c r="E298" s="1" t="n">
        <v>46260</v>
      </c>
      <c r="F298" t="inlineStr">
        <is>
          <t>BLEKINGE LÄN</t>
        </is>
      </c>
      <c r="G298" t="inlineStr">
        <is>
          <t>OLOFSTRÖM</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63384-2023</t>
        </is>
      </c>
      <c r="B299" t="inlineStr">
        <is>
          <t>avverkningsanmälan</t>
        </is>
      </c>
      <c r="C299" t="inlineStr">
        <is>
          <t>Föryngringsavverkning</t>
        </is>
      </c>
      <c r="D299" s="1" t="n">
        <v>45274</v>
      </c>
      <c r="E299" s="1" t="n">
        <v>46260</v>
      </c>
      <c r="F299" t="inlineStr">
        <is>
          <t>BLEKINGE LÄN</t>
        </is>
      </c>
      <c r="G299" t="inlineStr">
        <is>
          <t>OLOFSTRÖM</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63410-2023</t>
        </is>
      </c>
      <c r="B300" t="inlineStr">
        <is>
          <t>avverkningsanmälan</t>
        </is>
      </c>
      <c r="C300" t="inlineStr">
        <is>
          <t>Föryngringsavverkning</t>
        </is>
      </c>
      <c r="D300" s="1" t="n">
        <v>45274</v>
      </c>
      <c r="E300" s="1" t="n">
        <v>46260</v>
      </c>
      <c r="F300" t="inlineStr">
        <is>
          <t>BLEKINGE LÄN</t>
        </is>
      </c>
      <c r="G300" t="inlineStr">
        <is>
          <t>OLOFSTRÖM</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13083-2024</t>
        </is>
      </c>
      <c r="B301" t="inlineStr">
        <is>
          <t>avverkningsanmälan</t>
        </is>
      </c>
      <c r="C301" t="inlineStr">
        <is>
          <t>Föryngringsavverkning</t>
        </is>
      </c>
      <c r="D301" s="1" t="n">
        <v>45385</v>
      </c>
      <c r="E301" s="1" t="n">
        <v>46260</v>
      </c>
      <c r="F301" t="inlineStr">
        <is>
          <t>BLEKINGE LÄN</t>
        </is>
      </c>
      <c r="G301" t="inlineStr">
        <is>
          <t>OLOFSTRÖM</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34936-2024</t>
        </is>
      </c>
      <c r="B302" t="inlineStr">
        <is>
          <t>avverkningsanmälan</t>
        </is>
      </c>
      <c r="C302" t="inlineStr">
        <is>
          <t>Föryngringsavverkning</t>
        </is>
      </c>
      <c r="D302" s="1" t="n">
        <v>45527</v>
      </c>
      <c r="E302" s="1" t="n">
        <v>46260</v>
      </c>
      <c r="F302" t="inlineStr">
        <is>
          <t>BLEKINGE LÄN</t>
        </is>
      </c>
      <c r="G302" t="inlineStr">
        <is>
          <t>OLOFSTRÖM</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45230-2024</t>
        </is>
      </c>
      <c r="B303" t="inlineStr">
        <is>
          <t>avverkningsanmälan</t>
        </is>
      </c>
      <c r="C303" t="inlineStr">
        <is>
          <t>Föryngringsavverkning</t>
        </is>
      </c>
      <c r="D303" s="1" t="n">
        <v>45575</v>
      </c>
      <c r="E303" s="1" t="n">
        <v>46260</v>
      </c>
      <c r="F303" t="inlineStr">
        <is>
          <t>BLEKINGE LÄN</t>
        </is>
      </c>
      <c r="G303" t="inlineStr">
        <is>
          <t>OLOFSTRÖM</t>
        </is>
      </c>
      <c r="H303" t="inlineStr">
        <is>
          <t>Sveaskog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34747-2023</t>
        </is>
      </c>
      <c r="B304" t="inlineStr">
        <is>
          <t>avverkningsanmälan</t>
        </is>
      </c>
      <c r="C304" t="inlineStr">
        <is>
          <t>Föryngringsavverkning</t>
        </is>
      </c>
      <c r="D304" s="1" t="n">
        <v>45141</v>
      </c>
      <c r="E304" s="1" t="n">
        <v>46260</v>
      </c>
      <c r="F304" t="inlineStr">
        <is>
          <t>BLEKINGE LÄN</t>
        </is>
      </c>
      <c r="G304" t="inlineStr">
        <is>
          <t>OLOFSTRÖM</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8107-2023</t>
        </is>
      </c>
      <c r="B305" t="inlineStr">
        <is>
          <t>avverkningsanmälan</t>
        </is>
      </c>
      <c r="C305" t="inlineStr">
        <is>
          <t>Föryngringsavverkning</t>
        </is>
      </c>
      <c r="D305" s="1" t="n">
        <v>44970</v>
      </c>
      <c r="E305" s="1" t="n">
        <v>46260</v>
      </c>
      <c r="F305" t="inlineStr">
        <is>
          <t>BLEKINGE LÄN</t>
        </is>
      </c>
      <c r="G305" t="inlineStr">
        <is>
          <t>OLOFSTRÖM</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3475-2024</t>
        </is>
      </c>
      <c r="B306" t="inlineStr">
        <is>
          <t>avverkningsanmälan</t>
        </is>
      </c>
      <c r="C306" t="inlineStr">
        <is>
          <t>Föryngringsavverkning</t>
        </is>
      </c>
      <c r="D306" s="1" t="n">
        <v>45320</v>
      </c>
      <c r="E306" s="1" t="n">
        <v>46260</v>
      </c>
      <c r="F306" t="inlineStr">
        <is>
          <t>BLEKINGE LÄN</t>
        </is>
      </c>
      <c r="G306" t="inlineStr">
        <is>
          <t>OLOFSTRÖM</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62677-2023</t>
        </is>
      </c>
      <c r="B307" t="inlineStr">
        <is>
          <t>avverkningsanmälan</t>
        </is>
      </c>
      <c r="C307" t="inlineStr">
        <is>
          <t>Föryngringsavverkning</t>
        </is>
      </c>
      <c r="D307" s="1" t="n">
        <v>45271</v>
      </c>
      <c r="E307" s="1" t="n">
        <v>46260</v>
      </c>
      <c r="F307" t="inlineStr">
        <is>
          <t>BLEKINGE LÄN</t>
        </is>
      </c>
      <c r="G307" t="inlineStr">
        <is>
          <t>OLOFSTRÖM</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51284-2024</t>
        </is>
      </c>
      <c r="B308" t="inlineStr">
        <is>
          <t>avverkningsanmälan</t>
        </is>
      </c>
      <c r="C308" t="inlineStr">
        <is>
          <t>Föryngringsavverkning</t>
        </is>
      </c>
      <c r="D308" s="1" t="n">
        <v>45603</v>
      </c>
      <c r="E308" s="1" t="n">
        <v>46260</v>
      </c>
      <c r="F308" t="inlineStr">
        <is>
          <t>BLEKINGE LÄN</t>
        </is>
      </c>
      <c r="G308" t="inlineStr">
        <is>
          <t>OLOFSTRÖM</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8040-2025</t>
        </is>
      </c>
      <c r="B309" t="inlineStr">
        <is>
          <t>avverkningsanmälan</t>
        </is>
      </c>
      <c r="C309" t="inlineStr">
        <is>
          <t>Föryngringsavverkning</t>
        </is>
      </c>
      <c r="D309" s="1" t="n">
        <v>45707</v>
      </c>
      <c r="E309" s="1" t="n">
        <v>46260</v>
      </c>
      <c r="F309" t="inlineStr">
        <is>
          <t>BLEKINGE LÄN</t>
        </is>
      </c>
      <c r="G309" t="inlineStr">
        <is>
          <t>OLOFSTRÖM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13988-2023</t>
        </is>
      </c>
      <c r="B310" t="inlineStr">
        <is>
          <t>avverkningsanmälan</t>
        </is>
      </c>
      <c r="C310" t="inlineStr">
        <is>
          <t>Föryngringsavverkning</t>
        </is>
      </c>
      <c r="D310" s="1" t="n">
        <v>45008</v>
      </c>
      <c r="E310" s="1" t="n">
        <v>46260</v>
      </c>
      <c r="F310" t="inlineStr">
        <is>
          <t>BLEKINGE LÄN</t>
        </is>
      </c>
      <c r="G310" t="inlineStr">
        <is>
          <t>OLOFSTRÖM</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28857-2023</t>
        </is>
      </c>
      <c r="B311" t="inlineStr">
        <is>
          <t>avverkningsanmälan</t>
        </is>
      </c>
      <c r="C311" t="inlineStr">
        <is>
          <t>Föryngringsavverkning</t>
        </is>
      </c>
      <c r="D311" s="1" t="n">
        <v>45104</v>
      </c>
      <c r="E311" s="1" t="n">
        <v>46260</v>
      </c>
      <c r="F311" t="inlineStr">
        <is>
          <t>BLEKINGE LÄN</t>
        </is>
      </c>
      <c r="G311" t="inlineStr">
        <is>
          <t>OLOFSTRÖM</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38886-2022</t>
        </is>
      </c>
      <c r="B312" t="inlineStr">
        <is>
          <t>avverkningsanmälan</t>
        </is>
      </c>
      <c r="C312" t="inlineStr">
        <is>
          <t>Föryngringsavverkning</t>
        </is>
      </c>
      <c r="D312" s="1" t="n">
        <v>44816</v>
      </c>
      <c r="E312" s="1" t="n">
        <v>46260</v>
      </c>
      <c r="F312" t="inlineStr">
        <is>
          <t>BLEKINGE LÄN</t>
        </is>
      </c>
      <c r="G312" t="inlineStr">
        <is>
          <t>OLOFSTRÖM</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10248-2022</t>
        </is>
      </c>
      <c r="B313" t="inlineStr">
        <is>
          <t>avverkningsanmälan</t>
        </is>
      </c>
      <c r="C313" t="inlineStr">
        <is>
          <t>Föryngringsavverkning</t>
        </is>
      </c>
      <c r="D313" s="1" t="n">
        <v>44622</v>
      </c>
      <c r="E313" s="1" t="n">
        <v>46260</v>
      </c>
      <c r="F313" t="inlineStr">
        <is>
          <t>BLEKINGE LÄN</t>
        </is>
      </c>
      <c r="G313" t="inlineStr">
        <is>
          <t>OLOFSTRÖM</t>
        </is>
      </c>
      <c r="I313" t="n">
        <v>18.4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56107-2023</t>
        </is>
      </c>
      <c r="B314" t="inlineStr">
        <is>
          <t>avverkningsanmälan</t>
        </is>
      </c>
      <c r="C314" t="inlineStr">
        <is>
          <t>Föryngringsavverkning</t>
        </is>
      </c>
      <c r="D314" s="1" t="n">
        <v>45233</v>
      </c>
      <c r="E314" s="1" t="n">
        <v>46260</v>
      </c>
      <c r="F314" t="inlineStr">
        <is>
          <t>BLEKINGE LÄN</t>
        </is>
      </c>
      <c r="G314" t="inlineStr">
        <is>
          <t>OLOFSTRÖM</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73259-2021</t>
        </is>
      </c>
      <c r="B315" t="inlineStr">
        <is>
          <t>avverkningsanmälan</t>
        </is>
      </c>
      <c r="C315" t="inlineStr">
        <is>
          <t>Föryngringsavverkning</t>
        </is>
      </c>
      <c r="D315" s="1" t="n">
        <v>44550</v>
      </c>
      <c r="E315" s="1" t="n">
        <v>46260</v>
      </c>
      <c r="F315" t="inlineStr">
        <is>
          <t>BLEKINGE LÄN</t>
        </is>
      </c>
      <c r="G315" t="inlineStr">
        <is>
          <t>OLOFSTRÖM</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38956-2023</t>
        </is>
      </c>
      <c r="B316" t="inlineStr">
        <is>
          <t>avverkningsanmälan</t>
        </is>
      </c>
      <c r="C316" t="inlineStr">
        <is>
          <t>Föryngringsavverkning</t>
        </is>
      </c>
      <c r="D316" s="1" t="n">
        <v>45163</v>
      </c>
      <c r="E316" s="1" t="n">
        <v>46260</v>
      </c>
      <c r="F316" t="inlineStr">
        <is>
          <t>BLEKINGE LÄN</t>
        </is>
      </c>
      <c r="G316" t="inlineStr">
        <is>
          <t>OLOFSTRÖM</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33577-2022</t>
        </is>
      </c>
      <c r="B317" t="inlineStr">
        <is>
          <t>avverkningsanmälan</t>
        </is>
      </c>
      <c r="C317" t="inlineStr">
        <is>
          <t>Föryngringsavverkning</t>
        </is>
      </c>
      <c r="D317" s="1" t="n">
        <v>44789</v>
      </c>
      <c r="E317" s="1" t="n">
        <v>46260</v>
      </c>
      <c r="F317" t="inlineStr">
        <is>
          <t>BLEKINGE LÄN</t>
        </is>
      </c>
      <c r="G317" t="inlineStr">
        <is>
          <t>OLOFSTRÖM</t>
        </is>
      </c>
      <c r="I317" t="n">
        <v>7.3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48846-2024</t>
        </is>
      </c>
      <c r="B318" t="inlineStr">
        <is>
          <t>avverkningsanmälan</t>
        </is>
      </c>
      <c r="C318" t="inlineStr">
        <is>
          <t>Föryngringsavverkning</t>
        </is>
      </c>
      <c r="D318" s="1" t="n">
        <v>45593</v>
      </c>
      <c r="E318" s="1" t="n">
        <v>46260</v>
      </c>
      <c r="F318" t="inlineStr">
        <is>
          <t>BLEKINGE LÄN</t>
        </is>
      </c>
      <c r="G318" t="inlineStr">
        <is>
          <t>OLOFSTRÖM</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65026-2023</t>
        </is>
      </c>
      <c r="B319" t="inlineStr">
        <is>
          <t>avverkningsanmälan</t>
        </is>
      </c>
      <c r="C319" t="inlineStr">
        <is>
          <t>Föryngringsavverkning</t>
        </is>
      </c>
      <c r="D319" s="1" t="n">
        <v>45282</v>
      </c>
      <c r="E319" s="1" t="n">
        <v>46260</v>
      </c>
      <c r="F319" t="inlineStr">
        <is>
          <t>BLEKINGE LÄN</t>
        </is>
      </c>
      <c r="G319" t="inlineStr">
        <is>
          <t>OLOFSTRÖM</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23911-2023</t>
        </is>
      </c>
      <c r="B320" t="inlineStr">
        <is>
          <t>avverkningsanmälan</t>
        </is>
      </c>
      <c r="C320" t="inlineStr">
        <is>
          <t>Föryngringsavverkning</t>
        </is>
      </c>
      <c r="D320" s="1" t="n">
        <v>45078</v>
      </c>
      <c r="E320" s="1" t="n">
        <v>46260</v>
      </c>
      <c r="F320" t="inlineStr">
        <is>
          <t>BLEKINGE LÄN</t>
        </is>
      </c>
      <c r="G320" t="inlineStr">
        <is>
          <t>OLOFSTRÖM</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15384-2023</t>
        </is>
      </c>
      <c r="B321" t="inlineStr">
        <is>
          <t>avverkningsanmälan</t>
        </is>
      </c>
      <c r="C321" t="inlineStr">
        <is>
          <t>Föryngringsavverkning</t>
        </is>
      </c>
      <c r="D321" s="1" t="n">
        <v>45019</v>
      </c>
      <c r="E321" s="1" t="n">
        <v>46260</v>
      </c>
      <c r="F321" t="inlineStr">
        <is>
          <t>BLEKINGE LÄN</t>
        </is>
      </c>
      <c r="G321" t="inlineStr">
        <is>
          <t>OLOFSTRÖM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48004-2023</t>
        </is>
      </c>
      <c r="B322" t="inlineStr">
        <is>
          <t>avverkningsanmälan</t>
        </is>
      </c>
      <c r="C322" t="inlineStr">
        <is>
          <t>Föryngringsavverkning</t>
        </is>
      </c>
      <c r="D322" s="1" t="n">
        <v>45204</v>
      </c>
      <c r="E322" s="1" t="n">
        <v>46260</v>
      </c>
      <c r="F322" t="inlineStr">
        <is>
          <t>BLEKINGE LÄN</t>
        </is>
      </c>
      <c r="G322" t="inlineStr">
        <is>
          <t>OLOFSTRÖM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48005-2023</t>
        </is>
      </c>
      <c r="B323" t="inlineStr">
        <is>
          <t>avverkningsanmälan</t>
        </is>
      </c>
      <c r="C323" t="inlineStr">
        <is>
          <t>Föryngringsavverkning</t>
        </is>
      </c>
      <c r="D323" s="1" t="n">
        <v>45204</v>
      </c>
      <c r="E323" s="1" t="n">
        <v>46260</v>
      </c>
      <c r="F323" t="inlineStr">
        <is>
          <t>BLEKINGE LÄN</t>
        </is>
      </c>
      <c r="G323" t="inlineStr">
        <is>
          <t>OLOFSTRÖM</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59710-2024</t>
        </is>
      </c>
      <c r="B324" t="inlineStr">
        <is>
          <t>avverkningsanmälan</t>
        </is>
      </c>
      <c r="C324" t="inlineStr">
        <is>
          <t>Föryngringsavverkning</t>
        </is>
      </c>
      <c r="D324" s="1" t="n">
        <v>45639</v>
      </c>
      <c r="E324" s="1" t="n">
        <v>46260</v>
      </c>
      <c r="F324" t="inlineStr">
        <is>
          <t>BLEKINGE LÄN</t>
        </is>
      </c>
      <c r="G324" t="inlineStr">
        <is>
          <t>OLOFSTRÖM</t>
        </is>
      </c>
      <c r="I324" t="n">
        <v>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34746-2023</t>
        </is>
      </c>
      <c r="B325" t="inlineStr">
        <is>
          <t>avverkningsanmälan</t>
        </is>
      </c>
      <c r="C325" t="inlineStr">
        <is>
          <t>Föryngringsavverkning</t>
        </is>
      </c>
      <c r="D325" s="1" t="n">
        <v>45141</v>
      </c>
      <c r="E325" s="1" t="n">
        <v>46260</v>
      </c>
      <c r="F325" t="inlineStr">
        <is>
          <t>BLEKINGE LÄN</t>
        </is>
      </c>
      <c r="G325" t="inlineStr">
        <is>
          <t>OLOFSTRÖM</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9259-2022</t>
        </is>
      </c>
      <c r="B326" t="inlineStr">
        <is>
          <t>avverkningsanmälan</t>
        </is>
      </c>
      <c r="C326" t="inlineStr">
        <is>
          <t>Föryngringsavverkning</t>
        </is>
      </c>
      <c r="D326" s="1" t="n">
        <v>44616</v>
      </c>
      <c r="E326" s="1" t="n">
        <v>46260</v>
      </c>
      <c r="F326" t="inlineStr">
        <is>
          <t>BLEKINGE LÄN</t>
        </is>
      </c>
      <c r="G326" t="inlineStr">
        <is>
          <t>OLOFSTRÖM</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6681-2025</t>
        </is>
      </c>
      <c r="B327" t="inlineStr">
        <is>
          <t>avverkningsanmälan</t>
        </is>
      </c>
      <c r="C327" t="inlineStr">
        <is>
          <t>Föryngringsavverkning</t>
        </is>
      </c>
      <c r="D327" s="1" t="n">
        <v>45700</v>
      </c>
      <c r="E327" s="1" t="n">
        <v>46260</v>
      </c>
      <c r="F327" t="inlineStr">
        <is>
          <t>BLEKINGE LÄN</t>
        </is>
      </c>
      <c r="G327" t="inlineStr">
        <is>
          <t>OLOFSTRÖM</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42464-2023</t>
        </is>
      </c>
      <c r="B328" t="inlineStr">
        <is>
          <t>avverkningsanmälan</t>
        </is>
      </c>
      <c r="C328" t="inlineStr">
        <is>
          <t>Föryngringsavverkning</t>
        </is>
      </c>
      <c r="D328" s="1" t="n">
        <v>45180</v>
      </c>
      <c r="E328" s="1" t="n">
        <v>46260</v>
      </c>
      <c r="F328" t="inlineStr">
        <is>
          <t>BLEKINGE LÄN</t>
        </is>
      </c>
      <c r="G328" t="inlineStr">
        <is>
          <t>OLOFSTRÖM</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46820-2022</t>
        </is>
      </c>
      <c r="B329" t="inlineStr">
        <is>
          <t>avverkningsanmälan</t>
        </is>
      </c>
      <c r="C329" t="inlineStr">
        <is>
          <t>Avverkning för annat ändamål</t>
        </is>
      </c>
      <c r="D329" s="1" t="n">
        <v>44851</v>
      </c>
      <c r="E329" s="1" t="n">
        <v>46260</v>
      </c>
      <c r="F329" t="inlineStr">
        <is>
          <t>BLEKINGE LÄN</t>
        </is>
      </c>
      <c r="G329" t="inlineStr">
        <is>
          <t>OLOFSTRÖM</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56660-2023</t>
        </is>
      </c>
      <c r="B330" t="inlineStr">
        <is>
          <t>avverkningsanmälan</t>
        </is>
      </c>
      <c r="C330" t="inlineStr">
        <is>
          <t>Föryngringsavverkning</t>
        </is>
      </c>
      <c r="D330" s="1" t="n">
        <v>45243</v>
      </c>
      <c r="E330" s="1" t="n">
        <v>46260</v>
      </c>
      <c r="F330" t="inlineStr">
        <is>
          <t>BLEKINGE LÄN</t>
        </is>
      </c>
      <c r="G330" t="inlineStr">
        <is>
          <t>OLOFSTRÖM</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62246-2022</t>
        </is>
      </c>
      <c r="B331" t="inlineStr">
        <is>
          <t>avverkningsanmälan</t>
        </is>
      </c>
      <c r="C331" t="inlineStr">
        <is>
          <t>Föryngringsavverkning</t>
        </is>
      </c>
      <c r="D331" s="1" t="n">
        <v>44922</v>
      </c>
      <c r="E331" s="1" t="n">
        <v>46260</v>
      </c>
      <c r="F331" t="inlineStr">
        <is>
          <t>BLEKINGE LÄN</t>
        </is>
      </c>
      <c r="G331" t="inlineStr">
        <is>
          <t>OLOFSTRÖM</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8235-2023</t>
        </is>
      </c>
      <c r="B332" t="inlineStr">
        <is>
          <t>avverkningsanmälan</t>
        </is>
      </c>
      <c r="C332" t="inlineStr">
        <is>
          <t>Föryngringsavverkning</t>
        </is>
      </c>
      <c r="D332" s="1" t="n">
        <v>44974</v>
      </c>
      <c r="E332" s="1" t="n">
        <v>46260</v>
      </c>
      <c r="F332" t="inlineStr">
        <is>
          <t>BLEKINGE LÄN</t>
        </is>
      </c>
      <c r="G332" t="inlineStr">
        <is>
          <t>OLOFSTRÖM</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8238-2023</t>
        </is>
      </c>
      <c r="B333" t="inlineStr">
        <is>
          <t>avverkningsanmälan</t>
        </is>
      </c>
      <c r="C333" t="inlineStr">
        <is>
          <t>Föryngringsavverkning</t>
        </is>
      </c>
      <c r="D333" s="1" t="n">
        <v>44974</v>
      </c>
      <c r="E333" s="1" t="n">
        <v>46260</v>
      </c>
      <c r="F333" t="inlineStr">
        <is>
          <t>BLEKINGE LÄN</t>
        </is>
      </c>
      <c r="G333" t="inlineStr">
        <is>
          <t>OLOFSTRÖM</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11141-2025</t>
        </is>
      </c>
      <c r="B334" t="inlineStr">
        <is>
          <t>avverkningsanmälan</t>
        </is>
      </c>
      <c r="C334" t="inlineStr">
        <is>
          <t>Föryngringsavverkning</t>
        </is>
      </c>
      <c r="D334" s="1" t="n">
        <v>45723</v>
      </c>
      <c r="E334" s="1" t="n">
        <v>46260</v>
      </c>
      <c r="F334" t="inlineStr">
        <is>
          <t>BLEKINGE LÄN</t>
        </is>
      </c>
      <c r="G334" t="inlineStr">
        <is>
          <t>OLOFSTRÖM</t>
        </is>
      </c>
      <c r="I334" t="n">
        <v>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43814-2024</t>
        </is>
      </c>
      <c r="B335" t="inlineStr">
        <is>
          <t>avverkningsanmälan</t>
        </is>
      </c>
      <c r="C335" t="inlineStr">
        <is>
          <t>Föryngringsavverkning</t>
        </is>
      </c>
      <c r="D335" s="1" t="n">
        <v>45571</v>
      </c>
      <c r="E335" s="1" t="n">
        <v>46260</v>
      </c>
      <c r="F335" t="inlineStr">
        <is>
          <t>BLEKINGE LÄN</t>
        </is>
      </c>
      <c r="G335" t="inlineStr">
        <is>
          <t>OLOFSTRÖM</t>
        </is>
      </c>
      <c r="H335" t="inlineStr">
        <is>
          <t>Sveaskog</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16787-2023</t>
        </is>
      </c>
      <c r="B336" t="inlineStr">
        <is>
          <t>avverkningsanmälan</t>
        </is>
      </c>
      <c r="C336" t="inlineStr">
        <is>
          <t>Avverkning för annat ändamål</t>
        </is>
      </c>
      <c r="D336" s="1" t="n">
        <v>45032</v>
      </c>
      <c r="E336" s="1" t="n">
        <v>46260</v>
      </c>
      <c r="F336" t="inlineStr">
        <is>
          <t>BLEKINGE LÄN</t>
        </is>
      </c>
      <c r="G336" t="inlineStr">
        <is>
          <t>OLOFSTRÖM</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3477-2024</t>
        </is>
      </c>
      <c r="B337" t="inlineStr">
        <is>
          <t>avverkningsanmälan</t>
        </is>
      </c>
      <c r="C337" t="inlineStr">
        <is>
          <t>Föryngringsavverkning</t>
        </is>
      </c>
      <c r="D337" s="1" t="n">
        <v>45320</v>
      </c>
      <c r="E337" s="1" t="n">
        <v>46260</v>
      </c>
      <c r="F337" t="inlineStr">
        <is>
          <t>BLEKINGE LÄN</t>
        </is>
      </c>
      <c r="G337" t="inlineStr">
        <is>
          <t>OLOFSTRÖM</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48933-2024</t>
        </is>
      </c>
      <c r="B338" t="inlineStr">
        <is>
          <t>avverkningsanmälan</t>
        </is>
      </c>
      <c r="C338" t="inlineStr">
        <is>
          <t>Föryngringsavverkning</t>
        </is>
      </c>
      <c r="D338" s="1" t="n">
        <v>45594</v>
      </c>
      <c r="E338" s="1" t="n">
        <v>46260</v>
      </c>
      <c r="F338" t="inlineStr">
        <is>
          <t>BLEKINGE LÄN</t>
        </is>
      </c>
      <c r="G338" t="inlineStr">
        <is>
          <t>OLOFSTRÖM</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50709-2024</t>
        </is>
      </c>
      <c r="B339" t="inlineStr">
        <is>
          <t>avverkningsanmälan</t>
        </is>
      </c>
      <c r="C339" t="inlineStr">
        <is>
          <t>Föryngringsavverkning</t>
        </is>
      </c>
      <c r="D339" s="1" t="n">
        <v>45602</v>
      </c>
      <c r="E339" s="1" t="n">
        <v>46260</v>
      </c>
      <c r="F339" t="inlineStr">
        <is>
          <t>BLEKINGE LÄN</t>
        </is>
      </c>
      <c r="G339" t="inlineStr">
        <is>
          <t>OLOFSTRÖM</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5552-2025</t>
        </is>
      </c>
      <c r="B340" t="inlineStr">
        <is>
          <t>avverkningsanmälan</t>
        </is>
      </c>
      <c r="C340" t="inlineStr">
        <is>
          <t>Föryngringsavverkning</t>
        </is>
      </c>
      <c r="D340" s="1" t="n">
        <v>45693</v>
      </c>
      <c r="E340" s="1" t="n">
        <v>46260</v>
      </c>
      <c r="F340" t="inlineStr">
        <is>
          <t>BLEKINGE LÄN</t>
        </is>
      </c>
      <c r="G340" t="inlineStr">
        <is>
          <t>OLOFSTRÖM</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30740-2023</t>
        </is>
      </c>
      <c r="B341" t="inlineStr">
        <is>
          <t>avverkningsanmälan</t>
        </is>
      </c>
      <c r="C341" t="inlineStr">
        <is>
          <t>Föryngringsavverkning</t>
        </is>
      </c>
      <c r="D341" s="1" t="n">
        <v>45112</v>
      </c>
      <c r="E341" s="1" t="n">
        <v>46260</v>
      </c>
      <c r="F341" t="inlineStr">
        <is>
          <t>BLEKINGE LÄN</t>
        </is>
      </c>
      <c r="G341" t="inlineStr">
        <is>
          <t>OLOFSTRÖM</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10630-2023</t>
        </is>
      </c>
      <c r="B342" t="inlineStr">
        <is>
          <t>avverkningsanmälan</t>
        </is>
      </c>
      <c r="C342" t="inlineStr">
        <is>
          <t>Föryngringsavverkning</t>
        </is>
      </c>
      <c r="D342" s="1" t="n">
        <v>44984</v>
      </c>
      <c r="E342" s="1" t="n">
        <v>46260</v>
      </c>
      <c r="F342" t="inlineStr">
        <is>
          <t>BLEKINGE LÄN</t>
        </is>
      </c>
      <c r="G342" t="inlineStr">
        <is>
          <t>OLOFSTRÖM</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65035-2023</t>
        </is>
      </c>
      <c r="B343" t="inlineStr">
        <is>
          <t>avverkningsanmälan</t>
        </is>
      </c>
      <c r="C343" t="inlineStr">
        <is>
          <t>Föryngringsavverkning</t>
        </is>
      </c>
      <c r="D343" s="1" t="n">
        <v>45282</v>
      </c>
      <c r="E343" s="1" t="n">
        <v>46260</v>
      </c>
      <c r="F343" t="inlineStr">
        <is>
          <t>BLEKINGE LÄN</t>
        </is>
      </c>
      <c r="G343" t="inlineStr">
        <is>
          <t>OLOFSTRÖM</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32008-2023</t>
        </is>
      </c>
      <c r="B344" t="inlineStr">
        <is>
          <t>avverkningsanmälan</t>
        </is>
      </c>
      <c r="C344" t="inlineStr">
        <is>
          <t>Föryngringsavverkning</t>
        </is>
      </c>
      <c r="D344" s="1" t="n">
        <v>45107</v>
      </c>
      <c r="E344" s="1" t="n">
        <v>46260</v>
      </c>
      <c r="F344" t="inlineStr">
        <is>
          <t>BLEKINGE LÄN</t>
        </is>
      </c>
      <c r="G344" t="inlineStr">
        <is>
          <t>OLOFSTRÖM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6421-2024</t>
        </is>
      </c>
      <c r="B345" t="inlineStr">
        <is>
          <t>avverkningsanmälan</t>
        </is>
      </c>
      <c r="C345" t="inlineStr">
        <is>
          <t>Föryngringsavverkning</t>
        </is>
      </c>
      <c r="D345" s="1" t="n">
        <v>45338</v>
      </c>
      <c r="E345" s="1" t="n">
        <v>46260</v>
      </c>
      <c r="F345" t="inlineStr">
        <is>
          <t>BLEKINGE LÄN</t>
        </is>
      </c>
      <c r="G345" t="inlineStr">
        <is>
          <t>OLOFSTRÖM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5805-2025</t>
        </is>
      </c>
      <c r="B346" t="inlineStr">
        <is>
          <t>avverkningsanmälan</t>
        </is>
      </c>
      <c r="C346" t="inlineStr">
        <is>
          <t>Föryngringsavverkning</t>
        </is>
      </c>
      <c r="D346" s="1" t="n">
        <v>45694</v>
      </c>
      <c r="E346" s="1" t="n">
        <v>46260</v>
      </c>
      <c r="F346" t="inlineStr">
        <is>
          <t>BLEKINGE LÄN</t>
        </is>
      </c>
      <c r="G346" t="inlineStr">
        <is>
          <t>OLOFSTRÖM</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11305-2025</t>
        </is>
      </c>
      <c r="B347" t="inlineStr">
        <is>
          <t>avverkningsanmälan</t>
        </is>
      </c>
      <c r="C347" t="inlineStr">
        <is>
          <t>Föryngringsavverkning</t>
        </is>
      </c>
      <c r="D347" s="1" t="n">
        <v>45726</v>
      </c>
      <c r="E347" s="1" t="n">
        <v>46260</v>
      </c>
      <c r="F347" t="inlineStr">
        <is>
          <t>BLEKINGE LÄN</t>
        </is>
      </c>
      <c r="G347" t="inlineStr">
        <is>
          <t>OLOFSTRÖM</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46920-2024</t>
        </is>
      </c>
      <c r="B348" t="inlineStr">
        <is>
          <t>avverkningsanmälan</t>
        </is>
      </c>
      <c r="C348" t="inlineStr">
        <is>
          <t>Föryngringsavverkning</t>
        </is>
      </c>
      <c r="D348" s="1" t="n">
        <v>45583</v>
      </c>
      <c r="E348" s="1" t="n">
        <v>46260</v>
      </c>
      <c r="F348" t="inlineStr">
        <is>
          <t>BLEKINGE LÄN</t>
        </is>
      </c>
      <c r="G348" t="inlineStr">
        <is>
          <t>OLOFSTRÖM</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6442-2024</t>
        </is>
      </c>
      <c r="B349" t="inlineStr">
        <is>
          <t>avverkningsanmälan</t>
        </is>
      </c>
      <c r="C349" t="inlineStr">
        <is>
          <t>Föryngringsavverkning</t>
        </is>
      </c>
      <c r="D349" s="1" t="n">
        <v>45338</v>
      </c>
      <c r="E349" s="1" t="n">
        <v>46260</v>
      </c>
      <c r="F349" t="inlineStr">
        <is>
          <t>BLEKINGE LÄN</t>
        </is>
      </c>
      <c r="G349" t="inlineStr">
        <is>
          <t>OLOFSTRÖM</t>
        </is>
      </c>
      <c r="H349" t="inlineStr">
        <is>
          <t>Övriga Aktiebolag</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6270-2025</t>
        </is>
      </c>
      <c r="B350" t="inlineStr">
        <is>
          <t>avverkningsanmälan</t>
        </is>
      </c>
      <c r="C350" t="inlineStr">
        <is>
          <t>Föryngringsavverkning</t>
        </is>
      </c>
      <c r="D350" s="1" t="n">
        <v>45698</v>
      </c>
      <c r="E350" s="1" t="n">
        <v>46260</v>
      </c>
      <c r="F350" t="inlineStr">
        <is>
          <t>BLEKINGE LÄN</t>
        </is>
      </c>
      <c r="G350" t="inlineStr">
        <is>
          <t>OLOFSTRÖM</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12788-2025</t>
        </is>
      </c>
      <c r="B351" t="inlineStr">
        <is>
          <t>avverkningsanmälan</t>
        </is>
      </c>
      <c r="C351" t="inlineStr">
        <is>
          <t>Föryngringsavverkning</t>
        </is>
      </c>
      <c r="D351" s="1" t="n">
        <v>45733</v>
      </c>
      <c r="E351" s="1" t="n">
        <v>46260</v>
      </c>
      <c r="F351" t="inlineStr">
        <is>
          <t>BLEKINGE LÄN</t>
        </is>
      </c>
      <c r="G351" t="inlineStr">
        <is>
          <t>OLOFSTRÖM</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24253-2025</t>
        </is>
      </c>
      <c r="B352" t="inlineStr">
        <is>
          <t>avverkningsanmälan</t>
        </is>
      </c>
      <c r="C352" t="inlineStr">
        <is>
          <t>Föryngringsavverkning</t>
        </is>
      </c>
      <c r="D352" s="1" t="n">
        <v>45796</v>
      </c>
      <c r="E352" s="1" t="n">
        <v>46260</v>
      </c>
      <c r="F352" t="inlineStr">
        <is>
          <t>BLEKINGE LÄN</t>
        </is>
      </c>
      <c r="G352" t="inlineStr">
        <is>
          <t>OLOFSTRÖM</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12796-2025</t>
        </is>
      </c>
      <c r="B353" t="inlineStr">
        <is>
          <t>avverkningsanmälan</t>
        </is>
      </c>
      <c r="C353" t="inlineStr">
        <is>
          <t>Föryngringsavverkning</t>
        </is>
      </c>
      <c r="D353" s="1" t="n">
        <v>45733</v>
      </c>
      <c r="E353" s="1" t="n">
        <v>46260</v>
      </c>
      <c r="F353" t="inlineStr">
        <is>
          <t>BLEKINGE LÄN</t>
        </is>
      </c>
      <c r="G353" t="inlineStr">
        <is>
          <t>OLOFSTRÖM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6253-2025</t>
        </is>
      </c>
      <c r="B354" t="inlineStr">
        <is>
          <t>avverkningsanmälan</t>
        </is>
      </c>
      <c r="C354" t="inlineStr">
        <is>
          <t>Föryngringsavverkning</t>
        </is>
      </c>
      <c r="D354" s="1" t="n">
        <v>45698</v>
      </c>
      <c r="E354" s="1" t="n">
        <v>46260</v>
      </c>
      <c r="F354" t="inlineStr">
        <is>
          <t>BLEKINGE LÄN</t>
        </is>
      </c>
      <c r="G354" t="inlineStr">
        <is>
          <t>OLOFSTRÖM</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25741-2025</t>
        </is>
      </c>
      <c r="B355" t="inlineStr">
        <is>
          <t>avverkningsanmälan</t>
        </is>
      </c>
      <c r="C355" t="inlineStr">
        <is>
          <t>Föryngringsavverkning</t>
        </is>
      </c>
      <c r="D355" s="1" t="n">
        <v>45803</v>
      </c>
      <c r="E355" s="1" t="n">
        <v>46260</v>
      </c>
      <c r="F355" t="inlineStr">
        <is>
          <t>BLEKINGE LÄN</t>
        </is>
      </c>
      <c r="G355" t="inlineStr">
        <is>
          <t>OLOFSTRÖM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25682-2025</t>
        </is>
      </c>
      <c r="B356" t="inlineStr">
        <is>
          <t>avverkningsanmälan</t>
        </is>
      </c>
      <c r="C356" t="inlineStr">
        <is>
          <t>Föryngringsavverkning</t>
        </is>
      </c>
      <c r="D356" s="1" t="n">
        <v>45803</v>
      </c>
      <c r="E356" s="1" t="n">
        <v>46260</v>
      </c>
      <c r="F356" t="inlineStr">
        <is>
          <t>BLEKINGE LÄN</t>
        </is>
      </c>
      <c r="G356" t="inlineStr">
        <is>
          <t>OLOFSTRÖM</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19710-2024</t>
        </is>
      </c>
      <c r="B357" t="inlineStr">
        <is>
          <t>avverkningsanmälan</t>
        </is>
      </c>
      <c r="C357" t="inlineStr">
        <is>
          <t>Föryngringsavverkning</t>
        </is>
      </c>
      <c r="D357" s="1" t="n">
        <v>45432</v>
      </c>
      <c r="E357" s="1" t="n">
        <v>46260</v>
      </c>
      <c r="F357" t="inlineStr">
        <is>
          <t>BLEKINGE LÄN</t>
        </is>
      </c>
      <c r="G357" t="inlineStr">
        <is>
          <t>OLOFSTRÖM</t>
        </is>
      </c>
      <c r="H357" t="inlineStr">
        <is>
          <t>Kommuner</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7297-2021</t>
        </is>
      </c>
      <c r="B358" t="inlineStr">
        <is>
          <t>samrådsanmälan</t>
        </is>
      </c>
      <c r="C358" t="inlineStr">
        <is>
          <t>Traktorväg</t>
        </is>
      </c>
      <c r="D358" s="1" t="n">
        <v>44469</v>
      </c>
      <c r="E358" s="1" t="n">
        <v>46260</v>
      </c>
      <c r="F358" t="inlineStr">
        <is>
          <t>BLEKINGE LÄN</t>
        </is>
      </c>
      <c r="G358" t="inlineStr">
        <is>
          <t>OLOFSTRÖM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4348-2023</t>
        </is>
      </c>
      <c r="B359" t="inlineStr">
        <is>
          <t>samrådsanmälan</t>
        </is>
      </c>
      <c r="C359" t="inlineStr">
        <is>
          <t>Askåterföring</t>
        </is>
      </c>
      <c r="D359" s="1" t="n">
        <v>45261</v>
      </c>
      <c r="E359" s="1" t="n">
        <v>46260</v>
      </c>
      <c r="F359" t="inlineStr">
        <is>
          <t>BLEKINGE LÄN</t>
        </is>
      </c>
      <c r="G359" t="inlineStr">
        <is>
          <t>OLOFSTRÖM</t>
        </is>
      </c>
      <c r="I359" t="n">
        <v>23.2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503-2023</t>
        </is>
      </c>
      <c r="B360" t="inlineStr">
        <is>
          <t>samrådsanmälan</t>
        </is>
      </c>
      <c r="C360" t="inlineStr">
        <is>
          <t>Annan skogsbruksåtgärd</t>
        </is>
      </c>
      <c r="D360" s="1" t="n">
        <v>44966</v>
      </c>
      <c r="E360" s="1" t="n">
        <v>46260</v>
      </c>
      <c r="F360" t="inlineStr">
        <is>
          <t>BLEKINGE LÄN</t>
        </is>
      </c>
      <c r="G360" t="inlineStr">
        <is>
          <t>OLOFSTRÖM</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1129-2023</t>
        </is>
      </c>
      <c r="B361" t="inlineStr">
        <is>
          <t>samrådsanmälan</t>
        </is>
      </c>
      <c r="C361" t="inlineStr">
        <is>
          <t>Askåterföring</t>
        </is>
      </c>
      <c r="D361" s="1" t="n">
        <v>45016</v>
      </c>
      <c r="E361" s="1" t="n">
        <v>46260</v>
      </c>
      <c r="F361" t="inlineStr">
        <is>
          <t>BLEKINGE LÄN</t>
        </is>
      </c>
      <c r="G361" t="inlineStr">
        <is>
          <t>OLOFSTRÖM</t>
        </is>
      </c>
      <c r="I361" t="n">
        <v>15.2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1938-2025</t>
        </is>
      </c>
      <c r="B362" t="inlineStr">
        <is>
          <t>samrådsanmälan</t>
        </is>
      </c>
      <c r="C362" t="inlineStr">
        <is>
          <t>Annan skogsbruksåtgärd</t>
        </is>
      </c>
      <c r="D362" s="1" t="n">
        <v>45827</v>
      </c>
      <c r="E362" s="1" t="n">
        <v>46260</v>
      </c>
      <c r="F362" t="inlineStr">
        <is>
          <t>BLEKINGE LÄN</t>
        </is>
      </c>
      <c r="G362" t="inlineStr">
        <is>
          <t>OLOFSTRÖM</t>
        </is>
      </c>
      <c r="H362" t="inlineStr">
        <is>
          <t>Sveaskog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1939-2025</t>
        </is>
      </c>
      <c r="B363" t="inlineStr">
        <is>
          <t>samrådsanmälan</t>
        </is>
      </c>
      <c r="C363" t="inlineStr">
        <is>
          <t>Annan skogsbruksåtgärd</t>
        </is>
      </c>
      <c r="D363" s="1" t="n">
        <v>45827</v>
      </c>
      <c r="E363" s="1" t="n">
        <v>46260</v>
      </c>
      <c r="F363" t="inlineStr">
        <is>
          <t>BLEKINGE LÄN</t>
        </is>
      </c>
      <c r="G363" t="inlineStr">
        <is>
          <t>OLOFSTRÖM</t>
        </is>
      </c>
      <c r="H363" t="inlineStr">
        <is>
          <t>Sveaskog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2974-2025</t>
        </is>
      </c>
      <c r="B364" t="inlineStr">
        <is>
          <t>samrådsanmälan</t>
        </is>
      </c>
      <c r="C364" t="inlineStr">
        <is>
          <t>Annan skogsbruksåtgärd</t>
        </is>
      </c>
      <c r="D364" s="1" t="n">
        <v>45956</v>
      </c>
      <c r="E364" s="1" t="n">
        <v>46260</v>
      </c>
      <c r="F364" t="inlineStr">
        <is>
          <t>BLEKINGE LÄN</t>
        </is>
      </c>
      <c r="G364" t="inlineStr">
        <is>
          <t>OLOFSTRÖM</t>
        </is>
      </c>
      <c r="H364" t="inlineStr">
        <is>
          <t>Sveaskog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2973-2025</t>
        </is>
      </c>
      <c r="B365" t="inlineStr">
        <is>
          <t>samrådsanmälan</t>
        </is>
      </c>
      <c r="C365" t="inlineStr">
        <is>
          <t>Annan skogsbruksåtgärd</t>
        </is>
      </c>
      <c r="D365" s="1" t="n">
        <v>45956</v>
      </c>
      <c r="E365" s="1" t="n">
        <v>46260</v>
      </c>
      <c r="F365" t="inlineStr">
        <is>
          <t>BLEKINGE LÄN</t>
        </is>
      </c>
      <c r="G365" t="inlineStr">
        <is>
          <t>OLOFSTRÖM</t>
        </is>
      </c>
      <c r="H365" t="inlineStr">
        <is>
          <t>Sveaskog</t>
        </is>
      </c>
      <c r="I365" t="n">
        <v>4.1</v>
      </c>
      <c r="J365" t="n">
        <v>0</v>
      </c>
      <c r="K365" t="n">
        <v>0</v>
      </c>
      <c r="L365" t="n">
        <v>0</v>
      </c>
      <c r="M365" t="n">
        <v>0</v>
      </c>
      <c r="N365" t="n">
        <v>0</v>
      </c>
      <c r="O365" t="n">
        <v>0</v>
      </c>
      <c r="P365" t="n">
        <v>0</v>
      </c>
      <c r="Q365" t="n">
        <v>0</v>
      </c>
      <c r="R365" t="n">
        <v>0</v>
      </c>
      <c r="S365" t="n">
        <v>0</v>
      </c>
      <c r="T365" t="n">
        <v>0</v>
      </c>
      <c r="U365" t="n">
        <v>0</v>
      </c>
      <c r="V365" s="2" t="inlineStr"/>
    </row>
    <row r="366">
      <c r="A366" t="inlineStr">
        <is>
          <t>S 10187-2021</t>
        </is>
      </c>
      <c r="B366" t="inlineStr">
        <is>
          <t>samrådsanmälan</t>
        </is>
      </c>
      <c r="C366" t="inlineStr">
        <is>
          <t>Annan skogsbruksåtgärd</t>
        </is>
      </c>
      <c r="D366" s="1" t="n">
        <v>44543</v>
      </c>
      <c r="E366" s="1" t="n">
        <v>46260</v>
      </c>
      <c r="F366" t="inlineStr">
        <is>
          <t>BLEKINGE LÄN</t>
        </is>
      </c>
      <c r="G366" t="inlineStr">
        <is>
          <t>OLOFSTRÖM</t>
        </is>
      </c>
      <c r="I366" t="n">
        <v>1.1</v>
      </c>
      <c r="J366" t="n">
        <v>0</v>
      </c>
      <c r="K366" t="n">
        <v>0</v>
      </c>
      <c r="L366" t="n">
        <v>0</v>
      </c>
      <c r="M366" t="n">
        <v>0</v>
      </c>
      <c r="N366" t="n">
        <v>0</v>
      </c>
      <c r="O366" t="n">
        <v>0</v>
      </c>
      <c r="P366" t="n">
        <v>0</v>
      </c>
      <c r="Q366" t="n">
        <v>0</v>
      </c>
      <c r="R366" t="n">
        <v>0</v>
      </c>
      <c r="S366" t="n">
        <v>0</v>
      </c>
      <c r="T366" t="n">
        <v>0</v>
      </c>
      <c r="U366" t="n">
        <v>0</v>
      </c>
      <c r="V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2026-08-26T01:50:52Z</dcterms:created>
  <dcterms:modified xmlns:dcterms="http://purl.org/dc/terms/" xmlns:xsi="http://www.w3.org/2001/XMLSchema-instance" xsi:type="dcterms:W3CDTF">2026-08-26T01:50:53Z</dcterms:modified>
</cp:coreProperties>
</file>